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/>
  </bookViews>
  <sheets>
    <sheet name="S-201 list" sheetId="1" r:id="rId1"/>
    <sheet name="Source" sheetId="2" r:id="rId2"/>
    <sheet name="Reference" sheetId="3" r:id="rId3"/>
    <sheet name="Read me" sheetId="4" r:id="rId4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3" borderId="0" xfId="0" applyNumberFormat="1" applyFill="1"/>
    <xf numFmtId="0" fontId="0" fillId="3" borderId="0" xfId="0" applyFill="1"/>
    <xf numFmtId="0" fontId="3" fillId="0" borderId="0" xfId="0" applyFont="1"/>
    <xf numFmtId="0" fontId="0" fillId="0" borderId="0" xfId="0" applyAlignment="1">
      <alignment wrapText="1" vertical="top"/>
    </xf>
    <xf numFmtId="0" fontId="0" fillId="0" borderId="0" xfId="0" applyProtection="1">
      <protection locked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  <selection pane="bottomLeft" activeCell="A3" sqref="A3"/>
    </sheetView>
  </sheetViews>
  <sheetFormatPr defaultRowHeight="13"/>
  <cols>
    <col min="1" max="1" width="14" customWidth="1"/>
    <col min="2" max="2" width="26" customWidth="1"/>
    <col min="3" max="3" width="18" customWidth="1"/>
    <col min="4" max="4" width="11" customWidth="1"/>
    <col min="5" max="5" width="11" customWidth="1"/>
    <col min="6" max="6" width="16" customWidth="1"/>
    <col min="7" max="7" width="16" customWidth="1"/>
    <col min="8" max="8" width="10" customWidth="1"/>
    <col min="9" max="9" width="24" customWidth="1"/>
    <col min="10" max="10" width="18" customWidth="1"/>
    <col min="11" max="11" width="12" customWidth="1"/>
    <col min="12" max="12" width="9" customWidth="1"/>
    <col min="13" max="13" width="22" customWidth="1"/>
    <col min="14" max="14" width="14" customWidth="1"/>
    <col min="15" max="15" width="10" customWidth="1"/>
    <col min="16" max="16" width="10" customWidth="1"/>
    <col min="17" max="17" width="11" customWidth="1"/>
    <col min="18" max="18" width="18" customWidth="1"/>
    <col min="19" max="19" width="7" customWidth="1"/>
    <col min="20" max="20" width="12" customWidth="1"/>
    <col min="21" max="21" width="11" customWidth="1"/>
    <col min="22" max="22" width="22" customWidth="1"/>
    <col min="23" max="23" width="26" customWidth="1"/>
  </cols>
  <sheetData>
    <row r="1">
      <c r="A1" s="5" t="inlineStr">
        <is>
          <t xml:space="preserve">Generated by formulas from the Source sheet — do not type here. In S-201 AtoN Studio → Excel → S-201, load this workbook and keep the sheet "S-201 list".</t>
        </is>
      </c>
    </row>
    <row r="2">
      <c r="A2" s="1" t="inlineStr">
        <is>
          <t xml:space="preserve">AtoN number</t>
        </is>
      </c>
      <c r="B2" s="1" t="inlineStr">
        <is>
          <t xml:space="preserve">Aid type</t>
        </is>
      </c>
      <c r="C2" s="1" t="inlineStr">
        <is>
          <t xml:space="preserve">Name</t>
        </is>
      </c>
      <c r="D2" s="1" t="inlineStr">
        <is>
          <t xml:space="preserve">Latitude</t>
        </is>
      </c>
      <c r="E2" s="1" t="inlineStr">
        <is>
          <t xml:space="preserve">Longitude</t>
        </is>
      </c>
      <c r="F2" s="1" t="inlineStr">
        <is>
          <t xml:space="preserve">Colour</t>
        </is>
      </c>
      <c r="G2" s="1" t="inlineStr">
        <is>
          <t xml:space="preserve">Colour pattern</t>
        </is>
      </c>
      <c r="H2" s="1" t="inlineStr">
        <is>
          <t xml:space="preserve">Shape</t>
        </is>
      </c>
      <c r="I2" s="1" t="inlineStr">
        <is>
          <t xml:space="preserve">Category</t>
        </is>
      </c>
      <c r="J2" s="1" t="inlineStr">
        <is>
          <t xml:space="preserve">Light character</t>
        </is>
      </c>
      <c r="K2" s="1" t="inlineStr">
        <is>
          <t xml:space="preserve">Focal height</t>
        </is>
      </c>
      <c r="L2" s="1" t="inlineStr">
        <is>
          <t xml:space="preserve">Height</t>
        </is>
      </c>
      <c r="M2" s="1" t="inlineStr">
        <is>
          <t xml:space="preserve">Topmark</t>
        </is>
      </c>
      <c r="N2" s="1" t="inlineStr">
        <is>
          <t xml:space="preserve">Topmark colour</t>
        </is>
      </c>
      <c r="O2" s="1" t="inlineStr">
        <is>
          <t xml:space="preserve">Fog signal</t>
        </is>
      </c>
      <c r="P2" s="1" t="inlineStr">
        <is>
          <t xml:space="preserve">Fog period</t>
        </is>
      </c>
      <c r="Q2" s="1" t="inlineStr">
        <is>
          <t xml:space="preserve">MMSI</t>
        </is>
      </c>
      <c r="R2" s="1" t="inlineStr">
        <is>
          <t xml:space="preserve">AIS type</t>
        </is>
      </c>
      <c r="S2" s="1" t="inlineStr">
        <is>
          <t xml:space="preserve">Racon</t>
        </is>
      </c>
      <c r="T2" s="1" t="inlineStr">
        <is>
          <t xml:space="preserve">Status</t>
        </is>
      </c>
      <c r="U2" s="1" t="inlineStr">
        <is>
          <t xml:space="preserve">Installed</t>
        </is>
      </c>
      <c r="V2" s="1" t="inlineStr">
        <is>
          <t xml:space="preserve">Visual prominence</t>
        </is>
      </c>
      <c r="W2" s="1" t="inlineStr">
        <is>
          <t xml:space="preserve">Remarks</t>
        </is>
      </c>
    </row>
    <row r="3">
      <c r="A3" s="7" t="str">
        <f>IF(Source!A3="","",Source!A3&amp;"")</f>
        <v>XX-001</v>
      </c>
      <c r="B3" s="7" t="str">
        <f>TRIM(Source!C3&amp;" "&amp;Source!B3&amp;" "&amp;Source!D3)</f>
        <v>Safe water buoy</v>
      </c>
      <c r="C3" s="7" t="str">
        <f>IF(Source!E3="","",Source!E3)</f>
        <v>Alfa Approach</v>
      </c>
      <c r="D3" s="7">
        <f>IF(Source!F3="","",ROUND(IF(UPPER(Source!I3)="S",-1,1)*(N(Source!F3)+N(Source!G3)/60+N(Source!H3)/3600),7))</f>
        <v>15.5</v>
      </c>
      <c r="E3" s="7">
        <f>IF(Source!J3="","",ROUND(IF(UPPER(Source!M3)="W",-1,1)*(N(Source!J3)+N(Source!K3)/60+N(Source!L3)/3600),7))</f>
        <v>88.2</v>
      </c>
      <c r="F3" s="7" t="str">
        <f>SUBSTITUTE(TRIM(Source!N3&amp;" "&amp;Source!O3&amp;" "&amp;Source!P3)," ","/")</f>
        <v>red/white</v>
      </c>
      <c r="G3" s="7" t="str">
        <f>IF(Source!Q3="","",Source!Q3)</f>
        <v>vertical stripes</v>
      </c>
      <c r="H3" s="7" t="str">
        <f>IF(Source!R3="","",Source!R3)</f>
        <v>pillar</v>
      </c>
      <c r="I3" s="7" t="str">
        <f>IF(Source!S3&lt;&gt;"",Source!S3,IF(Source!C3&lt;&gt;"",Source!C3,""))</f>
        <v/>
      </c>
      <c r="J3" s="7" t="str">
        <f>TRIM(Source!T3&amp;" "&amp;Source!U3&amp;" "&amp;IF(Source!V3="","",Source!V3&amp;"s")&amp;" "&amp;IF(Source!W3="","",Source!W3&amp;"M"))</f>
        <v>LFl W 10s 8M</v>
      </c>
      <c r="K3" s="7" t="str">
        <f>IF(Source!X3="","",Source!X3)</f>
        <v/>
      </c>
      <c r="L3" s="7">
        <f>IF(Source!Y3="","",Source!Y3)</f>
        <v>4</v>
      </c>
      <c r="M3" s="7" t="str">
        <f>IF(Source!Z3="","",Source!Z3)</f>
        <v>sphere</v>
      </c>
      <c r="N3" s="7" t="str">
        <f>IF(Source!AA3="","",Source!AA3)</f>
        <v>red</v>
      </c>
      <c r="O3" s="7" t="str">
        <f>IF(Source!AB3="","",Source!AB3)</f>
        <v/>
      </c>
      <c r="P3" s="7" t="str">
        <f>IF(Source!AC3="","",Source!AC3)</f>
        <v/>
      </c>
      <c r="Q3" s="7" t="str">
        <f>IF(Source!AD3="","",TEXT(Source!AD3,"000000000"))</f>
        <v/>
      </c>
      <c r="R3" s="7" t="str">
        <f>IF(Source!AE3="","","physical AIS type "&amp;Source!AE3)</f>
        <v/>
      </c>
      <c r="S3" s="7" t="str">
        <f>IF(Source!AF3="","",IF(LEN(Source!AF3)=1,UPPER(Source!AF3),"yes"))</f>
        <v/>
      </c>
      <c r="T3" s="7" t="str">
        <f>IF(Source!AG3="","",Source!AG3)</f>
        <v>permanent</v>
      </c>
      <c r="U3" s="7" t="str">
        <f>IF(Source!AH3="","",YEAR(Source!AH3)&amp;"-"&amp;TEXT(MONTH(Source!AH3),"00")&amp;"-"&amp;TEXT(DAY(Source!AH3),"00"))</f>
        <v>2019-03-15</v>
      </c>
      <c r="V3" s="7" t="str">
        <f>IF(Source!AI3="","",IF(OR(UPPER(Source!AI3)="YES",UPPER(Source!AI3)="Y"),"visually conspicuous",IF(OR(UPPER(Source!AI3)="NO",UPPER(Source!AI3)="N"),"not visually conspicuous",Source!AI3)))</f>
        <v/>
      </c>
      <c r="W3" s="7" t="str">
        <f>IF(Source!AJ3="","",Source!AJ3)</f>
        <v>Fairway buoy</v>
      </c>
    </row>
    <row r="4">
      <c r="A4" s="7" t="str">
        <f>IF(Source!A4="","",Source!A4&amp;"")</f>
        <v>XX-002</v>
      </c>
      <c r="B4" s="7" t="str">
        <f>TRIM(Source!C4&amp;" "&amp;Source!B4&amp;" "&amp;Source!D4)</f>
        <v>port Lateral buoy</v>
      </c>
      <c r="C4" s="7" t="str">
        <f>IF(Source!E4="","",Source!E4)</f>
        <v>Bravo Point</v>
      </c>
      <c r="D4" s="7">
        <f>IF(Source!F4="","",ROUND(IF(UPPER(Source!I4)="S",-1,1)*(N(Source!F4)+N(Source!G4)/60+N(Source!H4)/3600),7))</f>
        <v>15.517</v>
      </c>
      <c r="E4" s="7">
        <f>IF(Source!J4="","",ROUND(IF(UPPER(Source!M4)="W",-1,1)*(N(Source!J4)+N(Source!K4)/60+N(Source!L4)/3600),7))</f>
        <v>88.217</v>
      </c>
      <c r="F4" s="7" t="str">
        <f>SUBSTITUTE(TRIM(Source!N4&amp;" "&amp;Source!O4&amp;" "&amp;Source!P4)," ","/")</f>
        <v>red</v>
      </c>
      <c r="G4" s="7" t="str">
        <f>IF(Source!Q4="","",Source!Q4)</f>
        <v/>
      </c>
      <c r="H4" s="7" t="str">
        <f>IF(Source!R4="","",Source!R4)</f>
        <v>can</v>
      </c>
      <c r="I4" s="7" t="str">
        <f>IF(Source!S4&lt;&gt;"",Source!S4,IF(Source!C4&lt;&gt;"",Source!C4,""))</f>
        <v>port</v>
      </c>
      <c r="J4" s="7" t="str">
        <f>TRIM(Source!T4&amp;" "&amp;Source!U4&amp;" "&amp;IF(Source!V4="","",Source!V4&amp;"s")&amp;" "&amp;IF(Source!W4="","",Source!W4&amp;"M"))</f>
        <v>Fl R 4s 5M</v>
      </c>
      <c r="K4" s="7" t="str">
        <f>IF(Source!X4="","",Source!X4)</f>
        <v/>
      </c>
      <c r="L4" s="7" t="str">
        <f>IF(Source!Y4="","",Source!Y4)</f>
        <v/>
      </c>
      <c r="M4" s="7" t="str">
        <f>IF(Source!Z4="","",Source!Z4)</f>
        <v>cylinder</v>
      </c>
      <c r="N4" s="7" t="str">
        <f>IF(Source!AA4="","",Source!AA4)</f>
        <v>red</v>
      </c>
      <c r="O4" s="7" t="str">
        <f>IF(Source!AB4="","",Source!AB4)</f>
        <v/>
      </c>
      <c r="P4" s="7" t="str">
        <f>IF(Source!AC4="","",Source!AC4)</f>
        <v/>
      </c>
      <c r="Q4" s="7" t="str">
        <f>IF(Source!AD4="","",TEXT(Source!AD4,"000000000"))</f>
        <v/>
      </c>
      <c r="R4" s="7" t="str">
        <f>IF(Source!AE4="","","physical AIS type "&amp;Source!AE4)</f>
        <v/>
      </c>
      <c r="S4" s="7" t="str">
        <f>IF(Source!AF4="","",IF(LEN(Source!AF4)=1,UPPER(Source!AF4),"yes"))</f>
        <v/>
      </c>
      <c r="T4" s="7" t="str">
        <f>IF(Source!AG4="","",Source!AG4)</f>
        <v>permanent</v>
      </c>
      <c r="U4" s="7" t="str">
        <f>IF(Source!AH4="","",YEAR(Source!AH4)&amp;"-"&amp;TEXT(MONTH(Source!AH4),"00")&amp;"-"&amp;TEXT(DAY(Source!AH4),"00"))</f>
        <v>2020-06-01</v>
      </c>
      <c r="V4" s="7" t="str">
        <f>IF(Source!AI4="","",IF(OR(UPPER(Source!AI4)="YES",UPPER(Source!AI4)="Y"),"visually conspicuous",IF(OR(UPPER(Source!AI4)="NO",UPPER(Source!AI4)="N"),"not visually conspicuous",Source!AI4)))</f>
        <v/>
      </c>
      <c r="W4" s="7" t="str">
        <f>IF(Source!AJ4="","",Source!AJ4)</f>
        <v/>
      </c>
    </row>
    <row r="5">
      <c r="A5" s="7" t="str">
        <f>IF(Source!A5="","",Source!A5&amp;"")</f>
        <v>XX-003</v>
      </c>
      <c r="B5" s="7" t="str">
        <f>TRIM(Source!C5&amp;" "&amp;Source!B5&amp;" "&amp;Source!D5)</f>
        <v>starboard Lateral buoy</v>
      </c>
      <c r="C5" s="7" t="str">
        <f>IF(Source!E5="","",Source!E5)</f>
        <v>Charlie Shoal</v>
      </c>
      <c r="D5" s="7">
        <f>IF(Source!F5="","",ROUND(IF(UPPER(Source!I5)="S",-1,1)*(N(Source!F5)+N(Source!G5)/60+N(Source!H5)/3600),7))</f>
        <v>15.5333333</v>
      </c>
      <c r="E5" s="7">
        <f>IF(Source!J5="","",ROUND(IF(UPPER(Source!M5)="W",-1,1)*(N(Source!J5)+N(Source!K5)/60+N(Source!L5)/3600),7))</f>
        <v>88.2333333</v>
      </c>
      <c r="F5" s="7" t="str">
        <f>SUBSTITUTE(TRIM(Source!N5&amp;" "&amp;Source!O5&amp;" "&amp;Source!P5)," ","/")</f>
        <v>green</v>
      </c>
      <c r="G5" s="7" t="str">
        <f>IF(Source!Q5="","",Source!Q5)</f>
        <v/>
      </c>
      <c r="H5" s="7" t="str">
        <f>IF(Source!R5="","",Source!R5)</f>
        <v>conical</v>
      </c>
      <c r="I5" s="7" t="str">
        <f>IF(Source!S5&lt;&gt;"",Source!S5,IF(Source!C5&lt;&gt;"",Source!C5,""))</f>
        <v>starboard</v>
      </c>
      <c r="J5" s="7" t="str">
        <f>TRIM(Source!T5&amp;" "&amp;Source!U5&amp;" "&amp;IF(Source!V5="","",Source!V5&amp;"s")&amp;" "&amp;IF(Source!W5="","",Source!W5&amp;"M"))</f>
        <v>Fl G 4s 5M</v>
      </c>
      <c r="K5" s="7" t="str">
        <f>IF(Source!X5="","",Source!X5)</f>
        <v/>
      </c>
      <c r="L5" s="7" t="str">
        <f>IF(Source!Y5="","",Source!Y5)</f>
        <v/>
      </c>
      <c r="M5" s="7" t="str">
        <f>IF(Source!Z5="","",Source!Z5)</f>
        <v>cone (point up)</v>
      </c>
      <c r="N5" s="7" t="str">
        <f>IF(Source!AA5="","",Source!AA5)</f>
        <v>green</v>
      </c>
      <c r="O5" s="7" t="str">
        <f>IF(Source!AB5="","",Source!AB5)</f>
        <v/>
      </c>
      <c r="P5" s="7" t="str">
        <f>IF(Source!AC5="","",Source!AC5)</f>
        <v/>
      </c>
      <c r="Q5" s="7" t="str">
        <f>IF(Source!AD5="","",TEXT(Source!AD5,"000000000"))</f>
        <v/>
      </c>
      <c r="R5" s="7" t="str">
        <f>IF(Source!AE5="","","physical AIS type "&amp;Source!AE5)</f>
        <v/>
      </c>
      <c r="S5" s="7" t="str">
        <f>IF(Source!AF5="","",IF(LEN(Source!AF5)=1,UPPER(Source!AF5),"yes"))</f>
        <v/>
      </c>
      <c r="T5" s="7" t="str">
        <f>IF(Source!AG5="","",Source!AG5)</f>
        <v>permanent</v>
      </c>
      <c r="U5" s="7" t="str">
        <f>IF(Source!AH5="","",YEAR(Source!AH5)&amp;"-"&amp;TEXT(MONTH(Source!AH5),"00")&amp;"-"&amp;TEXT(DAY(Source!AH5),"00"))</f>
        <v>2020-06-01</v>
      </c>
      <c r="V5" s="7" t="str">
        <f>IF(Source!AI5="","",IF(OR(UPPER(Source!AI5)="YES",UPPER(Source!AI5)="Y"),"visually conspicuous",IF(OR(UPPER(Source!AI5)="NO",UPPER(Source!AI5)="N"),"not visually conspicuous",Source!AI5)))</f>
        <v/>
      </c>
      <c r="W5" s="7" t="str">
        <f>IF(Source!AJ5="","",Source!AJ5)</f>
        <v>Marks the shoal</v>
      </c>
    </row>
    <row r="6">
      <c r="A6" s="7" t="str">
        <f>IF(Source!A6="","",Source!A6&amp;"")</f>
        <v>XX-004</v>
      </c>
      <c r="B6" s="7" t="str">
        <f>TRIM(Source!C6&amp;" "&amp;Source!B6&amp;" "&amp;Source!D6)</f>
        <v>N Cardinal buoy</v>
      </c>
      <c r="C6" s="7" t="str">
        <f>IF(Source!E6="","",Source!E6)</f>
        <v>Delta North</v>
      </c>
      <c r="D6" s="7">
        <f>IF(Source!F6="","",ROUND(IF(UPPER(Source!I6)="S",-1,1)*(N(Source!F6)+N(Source!G6)/60+N(Source!H6)/3600),7))</f>
        <v>15.55</v>
      </c>
      <c r="E6" s="7">
        <f>IF(Source!J6="","",ROUND(IF(UPPER(Source!M6)="W",-1,1)*(N(Source!J6)+N(Source!K6)/60+N(Source!L6)/3600),7))</f>
        <v>88.25</v>
      </c>
      <c r="F6" s="7" t="str">
        <f>SUBSTITUTE(TRIM(Source!N6&amp;" "&amp;Source!O6&amp;" "&amp;Source!P6)," ","/")</f>
        <v>black/yellow</v>
      </c>
      <c r="G6" s="7" t="str">
        <f>IF(Source!Q6="","",Source!Q6)</f>
        <v>horizontal stripes</v>
      </c>
      <c r="H6" s="7" t="str">
        <f>IF(Source!R6="","",Source!R6)</f>
        <v>pillar</v>
      </c>
      <c r="I6" s="7" t="str">
        <f>IF(Source!S6&lt;&gt;"",Source!S6,IF(Source!C6&lt;&gt;"",Source!C6,""))</f>
        <v>N</v>
      </c>
      <c r="J6" s="7" t="str">
        <f>TRIM(Source!T6&amp;" "&amp;Source!U6&amp;" "&amp;IF(Source!V6="","",Source!V6&amp;"s")&amp;" "&amp;IF(Source!W6="","",Source!W6&amp;"M"))</f>
        <v>VQ W 6M</v>
      </c>
      <c r="K6" s="7" t="str">
        <f>IF(Source!X6="","",Source!X6)</f>
        <v/>
      </c>
      <c r="L6" s="7" t="str">
        <f>IF(Source!Y6="","",Source!Y6)</f>
        <v/>
      </c>
      <c r="M6" s="7" t="str">
        <f>IF(Source!Z6="","",Source!Z6)</f>
        <v>2 cones (points upward)</v>
      </c>
      <c r="N6" s="7" t="str">
        <f>IF(Source!AA6="","",Source!AA6)</f>
        <v>black</v>
      </c>
      <c r="O6" s="7" t="str">
        <f>IF(Source!AB6="","",Source!AB6)</f>
        <v/>
      </c>
      <c r="P6" s="7" t="str">
        <f>IF(Source!AC6="","",Source!AC6)</f>
        <v/>
      </c>
      <c r="Q6" s="7" t="str">
        <f>IF(Source!AD6="","",TEXT(Source!AD6,"000000000"))</f>
        <v/>
      </c>
      <c r="R6" s="7" t="str">
        <f>IF(Source!AE6="","","physical AIS type "&amp;Source!AE6)</f>
        <v/>
      </c>
      <c r="S6" s="7" t="str">
        <f>IF(Source!AF6="","",IF(LEN(Source!AF6)=1,UPPER(Source!AF6),"yes"))</f>
        <v/>
      </c>
      <c r="T6" s="7" t="str">
        <f>IF(Source!AG6="","",Source!AG6)</f>
        <v>permanent</v>
      </c>
      <c r="U6" s="7" t="str">
        <f>IF(Source!AH6="","",YEAR(Source!AH6)&amp;"-"&amp;TEXT(MONTH(Source!AH6),"00")&amp;"-"&amp;TEXT(DAY(Source!AH6),"00"))</f>
        <v>2018-11-20</v>
      </c>
      <c r="V6" s="7" t="str">
        <f>IF(Source!AI6="","",IF(OR(UPPER(Source!AI6)="YES",UPPER(Source!AI6)="Y"),"visually conspicuous",IF(OR(UPPER(Source!AI6)="NO",UPPER(Source!AI6)="N"),"not visually conspicuous",Source!AI6)))</f>
        <v/>
      </c>
      <c r="W6" s="7" t="str">
        <f>IF(Source!AJ6="","",Source!AJ6)</f>
        <v/>
      </c>
    </row>
    <row r="7">
      <c r="A7" s="7" t="str">
        <f>IF(Source!A7="","",Source!A7&amp;"")</f>
        <v>XX-005</v>
      </c>
      <c r="B7" s="7" t="str">
        <f>TRIM(Source!C7&amp;" "&amp;Source!B7&amp;" "&amp;Source!D7)</f>
        <v>Lighthouse</v>
      </c>
      <c r="C7" s="7" t="str">
        <f>IF(Source!E7="","",Source!E7)</f>
        <v>Echo Tower</v>
      </c>
      <c r="D7" s="7">
        <f>IF(Source!F7="","",ROUND(IF(UPPER(Source!I7)="S",-1,1)*(N(Source!F7)+N(Source!G7)/60+N(Source!H7)/3600),7))</f>
        <v>15.5833333</v>
      </c>
      <c r="E7" s="7">
        <f>IF(Source!J7="","",ROUND(IF(UPPER(Source!M7)="W",-1,1)*(N(Source!J7)+N(Source!K7)/60+N(Source!L7)/3600),7))</f>
        <v>88.2833333</v>
      </c>
      <c r="F7" s="7" t="str">
        <f>SUBSTITUTE(TRIM(Source!N7&amp;" "&amp;Source!O7&amp;" "&amp;Source!P7)," ","/")</f>
        <v>white</v>
      </c>
      <c r="G7" s="7" t="str">
        <f>IF(Source!Q7="","",Source!Q7)</f>
        <v/>
      </c>
      <c r="H7" s="7" t="str">
        <f>IF(Source!R7="","",Source!R7)</f>
        <v/>
      </c>
      <c r="I7" s="7" t="str">
        <f>IF(Source!S7&lt;&gt;"",Source!S7,IF(Source!C7&lt;&gt;"",Source!C7,""))</f>
        <v/>
      </c>
      <c r="J7" s="7" t="str">
        <f>TRIM(Source!T7&amp;" "&amp;Source!U7&amp;" "&amp;IF(Source!V7="","",Source!V7&amp;"s")&amp;" "&amp;IF(Source!W7="","",Source!W7&amp;"M"))</f>
        <v>Fl(2) W 10s 15M</v>
      </c>
      <c r="K7" s="7">
        <f>IF(Source!X7="","",Source!X7)</f>
        <v>14</v>
      </c>
      <c r="L7" s="7">
        <f>IF(Source!Y7="","",Source!Y7)</f>
        <v>18</v>
      </c>
      <c r="M7" s="7" t="str">
        <f>IF(Source!Z7="","",Source!Z7)</f>
        <v/>
      </c>
      <c r="N7" s="7" t="str">
        <f>IF(Source!AA7="","",Source!AA7)</f>
        <v/>
      </c>
      <c r="O7" s="7" t="str">
        <f>IF(Source!AB7="","",Source!AB7)</f>
        <v>horn</v>
      </c>
      <c r="P7" s="7">
        <f>IF(Source!AC7="","",Source!AC7)</f>
        <v>30</v>
      </c>
      <c r="Q7" s="7" t="str">
        <f>IF(Source!AD7="","",TEXT(Source!AD7,"000000000"))</f>
        <v/>
      </c>
      <c r="R7" s="7" t="str">
        <f>IF(Source!AE7="","","physical AIS type "&amp;Source!AE7)</f>
        <v/>
      </c>
      <c r="S7" s="7" t="str">
        <f>IF(Source!AF7="","",IF(LEN(Source!AF7)=1,UPPER(Source!AF7),"yes"))</f>
        <v>K</v>
      </c>
      <c r="T7" s="7" t="str">
        <f>IF(Source!AG7="","",Source!AG7)</f>
        <v>permanent</v>
      </c>
      <c r="U7" s="7" t="str">
        <f>IF(Source!AH7="","",YEAR(Source!AH7)&amp;"-"&amp;TEXT(MONTH(Source!AH7),"00")&amp;"-"&amp;TEXT(DAY(Source!AH7),"00"))</f>
        <v>1925-05-01</v>
      </c>
      <c r="V7" s="7" t="str">
        <f>IF(Source!AI7="","",IF(OR(UPPER(Source!AI7)="YES",UPPER(Source!AI7)="Y"),"visually conspicuous",IF(OR(UPPER(Source!AI7)="NO",UPPER(Source!AI7)="N"),"not visually conspicuous",Source!AI7)))</f>
        <v>visually conspicuous</v>
      </c>
      <c r="W7" s="7" t="str">
        <f>IF(Source!AJ7="","",Source!AJ7)</f>
        <v>Racon K</v>
      </c>
    </row>
    <row r="8">
      <c r="A8" s="7" t="str">
        <f>IF(Source!A8="","",Source!A8&amp;"")</f>
        <v>XX-006</v>
      </c>
      <c r="B8" s="7" t="str">
        <f>TRIM(Source!C8&amp;" "&amp;Source!B8&amp;" "&amp;Source!D8)</f>
        <v>Special buoy</v>
      </c>
      <c r="C8" s="7" t="str">
        <f>IF(Source!E8="","",Source!E8)</f>
        <v>Foxtrot Works</v>
      </c>
      <c r="D8" s="7">
        <f>IF(Source!F8="","",ROUND(IF(UPPER(Source!I8)="S",-1,1)*(N(Source!F8)+N(Source!G8)/60+N(Source!H8)/3600),7))</f>
        <v>15.6</v>
      </c>
      <c r="E8" s="7">
        <f>IF(Source!J8="","",ROUND(IF(UPPER(Source!M8)="W",-1,1)*(N(Source!J8)+N(Source!K8)/60+N(Source!L8)/3600),7))</f>
        <v>88.3</v>
      </c>
      <c r="F8" s="7" t="str">
        <f>SUBSTITUTE(TRIM(Source!N8&amp;" "&amp;Source!O8&amp;" "&amp;Source!P8)," ","/")</f>
        <v>yellow</v>
      </c>
      <c r="G8" s="7" t="str">
        <f>IF(Source!Q8="","",Source!Q8)</f>
        <v/>
      </c>
      <c r="H8" s="7" t="str">
        <f>IF(Source!R8="","",Source!R8)</f>
        <v>spar</v>
      </c>
      <c r="I8" s="7" t="str">
        <f>IF(Source!S8&lt;&gt;"",Source!S8,IF(Source!C8&lt;&gt;"",Source!C8,""))</f>
        <v>spoil ground mark</v>
      </c>
      <c r="J8" s="7" t="str">
        <f>TRIM(Source!T8&amp;" "&amp;Source!U8&amp;" "&amp;IF(Source!V8="","",Source!V8&amp;"s")&amp;" "&amp;IF(Source!W8="","",Source!W8&amp;"M"))</f>
        <v>Fl Y 5s 4M</v>
      </c>
      <c r="K8" s="7" t="str">
        <f>IF(Source!X8="","",Source!X8)</f>
        <v/>
      </c>
      <c r="L8" s="7" t="str">
        <f>IF(Source!Y8="","",Source!Y8)</f>
        <v/>
      </c>
      <c r="M8" s="7" t="str">
        <f>IF(Source!Z8="","",Source!Z8)</f>
        <v>x-shaped</v>
      </c>
      <c r="N8" s="7" t="str">
        <f>IF(Source!AA8="","",Source!AA8)</f>
        <v>yellow</v>
      </c>
      <c r="O8" s="7" t="str">
        <f>IF(Source!AB8="","",Source!AB8)</f>
        <v/>
      </c>
      <c r="P8" s="7" t="str">
        <f>IF(Source!AC8="","",Source!AC8)</f>
        <v/>
      </c>
      <c r="Q8" s="7" t="str">
        <f>IF(Source!AD8="","",TEXT(Source!AD8,"000000000"))</f>
        <v>992001234</v>
      </c>
      <c r="R8" s="7" t="str">
        <f>IF(Source!AE8="","","physical AIS type "&amp;Source!AE8)</f>
        <v>physical AIS type 1</v>
      </c>
      <c r="S8" s="7" t="str">
        <f>IF(Source!AF8="","",IF(LEN(Source!AF8)=1,UPPER(Source!AF8),"yes"))</f>
        <v/>
      </c>
      <c r="T8" s="7" t="str">
        <f>IF(Source!AG8="","",Source!AG8)</f>
        <v>permanent</v>
      </c>
      <c r="U8" s="7" t="str">
        <f>IF(Source!AH8="","",YEAR(Source!AH8)&amp;"-"&amp;TEXT(MONTH(Source!AH8),"00")&amp;"-"&amp;TEXT(DAY(Source!AH8),"00"))</f>
        <v>2021-01-10</v>
      </c>
      <c r="V8" s="7" t="str">
        <f>IF(Source!AI8="","",IF(OR(UPPER(Source!AI8)="YES",UPPER(Source!AI8)="Y"),"visually conspicuous",IF(OR(UPPER(Source!AI8)="NO",UPPER(Source!AI8)="N"),"not visually conspicuous",Source!AI8)))</f>
        <v/>
      </c>
      <c r="W8" s="7" t="str">
        <f>IF(Source!AJ8="","",Source!AJ8)</f>
        <v>Spoil ground</v>
      </c>
    </row>
    <row r="9">
      <c r="A9" s="7" t="str">
        <f>IF(Source!A9="","",Source!A9&amp;"")</f>
        <v>XX-007</v>
      </c>
      <c r="B9" s="7" t="str">
        <f>TRIM(Source!C9&amp;" "&amp;Source!B9&amp;" "&amp;Source!D9)</f>
        <v>starboard Lateral beacon</v>
      </c>
      <c r="C9" s="7" t="str">
        <f>IF(Source!E9="","",Source!E9)</f>
        <v>Golf Pile</v>
      </c>
      <c r="D9" s="7">
        <f>IF(Source!F9="","",ROUND(IF(UPPER(Source!I9)="S",-1,1)*(N(Source!F9)+N(Source!G9)/60+N(Source!H9)/3600),7))</f>
        <v>15.6166667</v>
      </c>
      <c r="E9" s="7">
        <f>IF(Source!J9="","",ROUND(IF(UPPER(Source!M9)="W",-1,1)*(N(Source!J9)+N(Source!K9)/60+N(Source!L9)/3600),7))</f>
        <v>88.3166667</v>
      </c>
      <c r="F9" s="7" t="str">
        <f>SUBSTITUTE(TRIM(Source!N9&amp;" "&amp;Source!O9&amp;" "&amp;Source!P9)," ","/")</f>
        <v>green</v>
      </c>
      <c r="G9" s="7" t="str">
        <f>IF(Source!Q9="","",Source!Q9)</f>
        <v/>
      </c>
      <c r="H9" s="7" t="str">
        <f>IF(Source!R9="","",Source!R9)</f>
        <v>pile</v>
      </c>
      <c r="I9" s="7" t="str">
        <f>IF(Source!S9&lt;&gt;"",Source!S9,IF(Source!C9&lt;&gt;"",Source!C9,""))</f>
        <v>starboard</v>
      </c>
      <c r="J9" s="7" t="str">
        <f>TRIM(Source!T9&amp;" "&amp;Source!U9&amp;" "&amp;IF(Source!V9="","",Source!V9&amp;"s")&amp;" "&amp;IF(Source!W9="","",Source!W9&amp;"M"))</f>
        <v>Fl G 3s 4M</v>
      </c>
      <c r="K9" s="7" t="str">
        <f>IF(Source!X9="","",Source!X9)</f>
        <v/>
      </c>
      <c r="L9" s="7">
        <f>IF(Source!Y9="","",Source!Y9)</f>
        <v>8</v>
      </c>
      <c r="M9" s="7" t="str">
        <f>IF(Source!Z9="","",Source!Z9)</f>
        <v>cone (point up)</v>
      </c>
      <c r="N9" s="7" t="str">
        <f>IF(Source!AA9="","",Source!AA9)</f>
        <v>green</v>
      </c>
      <c r="O9" s="7" t="str">
        <f>IF(Source!AB9="","",Source!AB9)</f>
        <v/>
      </c>
      <c r="P9" s="7" t="str">
        <f>IF(Source!AC9="","",Source!AC9)</f>
        <v/>
      </c>
      <c r="Q9" s="7" t="str">
        <f>IF(Source!AD9="","",TEXT(Source!AD9,"000000000"))</f>
        <v/>
      </c>
      <c r="R9" s="7" t="str">
        <f>IF(Source!AE9="","","physical AIS type "&amp;Source!AE9)</f>
        <v/>
      </c>
      <c r="S9" s="7" t="str">
        <f>IF(Source!AF9="","",IF(LEN(Source!AF9)=1,UPPER(Source!AF9),"yes"))</f>
        <v/>
      </c>
      <c r="T9" s="7" t="str">
        <f>IF(Source!AG9="","",Source!AG9)</f>
        <v>permanent</v>
      </c>
      <c r="U9" s="7" t="str">
        <f>IF(Source!AH9="","",YEAR(Source!AH9)&amp;"-"&amp;TEXT(MONTH(Source!AH9),"00")&amp;"-"&amp;TEXT(DAY(Source!AH9),"00"))</f>
        <v>2019-12-01</v>
      </c>
      <c r="V9" s="7" t="str">
        <f>IF(Source!AI9="","",IF(OR(UPPER(Source!AI9)="YES",UPPER(Source!AI9)="Y"),"visually conspicuous",IF(OR(UPPER(Source!AI9)="NO",UPPER(Source!AI9)="N"),"not visually conspicuous",Source!AI9)))</f>
        <v/>
      </c>
      <c r="W9" s="7" t="str">
        <f>IF(Source!AJ9="","",Source!AJ9)</f>
        <v/>
      </c>
    </row>
    <row r="10">
      <c r="A10" s="7" t="str">
        <f>IF(Source!A10="","",Source!A10&amp;"")</f>
        <v/>
      </c>
      <c r="B10" s="7" t="str">
        <f>TRIM(Source!C10&amp;" "&amp;Source!B10&amp;" "&amp;Source!D10)</f>
        <v/>
      </c>
      <c r="C10" s="7" t="str">
        <f>IF(Source!E10="","",Source!E10)</f>
        <v/>
      </c>
      <c r="D10" s="7" t="str">
        <f>IF(Source!F10="","",ROUND(IF(UPPER(Source!I10)="S",-1,1)*(N(Source!F10)+N(Source!G10)/60+N(Source!H10)/3600),7))</f>
        <v/>
      </c>
      <c r="E10" s="7" t="str">
        <f>IF(Source!J10="","",ROUND(IF(UPPER(Source!M10)="W",-1,1)*(N(Source!J10)+N(Source!K10)/60+N(Source!L10)/3600),7))</f>
        <v/>
      </c>
      <c r="F10" s="7" t="str">
        <f>SUBSTITUTE(TRIM(Source!N10&amp;" "&amp;Source!O10&amp;" "&amp;Source!P10)," ","/")</f>
        <v/>
      </c>
      <c r="G10" s="7" t="str">
        <f>IF(Source!Q10="","",Source!Q10)</f>
        <v/>
      </c>
      <c r="H10" s="7" t="str">
        <f>IF(Source!R10="","",Source!R10)</f>
        <v/>
      </c>
      <c r="I10" s="7" t="str">
        <f>IF(Source!S10&lt;&gt;"",Source!S10,IF(Source!C10&lt;&gt;"",Source!C10,""))</f>
        <v/>
      </c>
      <c r="J10" s="7" t="str">
        <f>TRIM(Source!T10&amp;" "&amp;Source!U10&amp;" "&amp;IF(Source!V10="","",Source!V10&amp;"s")&amp;" "&amp;IF(Source!W10="","",Source!W10&amp;"M"))</f>
        <v/>
      </c>
      <c r="K10" s="7" t="str">
        <f>IF(Source!X10="","",Source!X10)</f>
        <v/>
      </c>
      <c r="L10" s="7" t="str">
        <f>IF(Source!Y10="","",Source!Y10)</f>
        <v/>
      </c>
      <c r="M10" s="7" t="str">
        <f>IF(Source!Z10="","",Source!Z10)</f>
        <v/>
      </c>
      <c r="N10" s="7" t="str">
        <f>IF(Source!AA10="","",Source!AA10)</f>
        <v/>
      </c>
      <c r="O10" s="7" t="str">
        <f>IF(Source!AB10="","",Source!AB10)</f>
        <v/>
      </c>
      <c r="P10" s="7" t="str">
        <f>IF(Source!AC10="","",Source!AC10)</f>
        <v/>
      </c>
      <c r="Q10" s="7" t="str">
        <f>IF(Source!AD10="","",TEXT(Source!AD10,"000000000"))</f>
        <v/>
      </c>
      <c r="R10" s="7" t="str">
        <f>IF(Source!AE10="","","physical AIS type "&amp;Source!AE10)</f>
        <v/>
      </c>
      <c r="S10" s="7" t="str">
        <f>IF(Source!AF10="","",IF(LEN(Source!AF10)=1,UPPER(Source!AF10),"yes"))</f>
        <v/>
      </c>
      <c r="T10" s="7" t="str">
        <f>IF(Source!AG10="","",Source!AG10)</f>
        <v/>
      </c>
      <c r="U10" s="7" t="str">
        <f>IF(Source!AH10="","",YEAR(Source!AH10)&amp;"-"&amp;TEXT(MONTH(Source!AH10),"00")&amp;"-"&amp;TEXT(DAY(Source!AH10),"00"))</f>
        <v/>
      </c>
      <c r="V10" s="7" t="str">
        <f>IF(Source!AI10="","",IF(OR(UPPER(Source!AI10)="YES",UPPER(Source!AI10)="Y"),"visually conspicuous",IF(OR(UPPER(Source!AI10)="NO",UPPER(Source!AI10)="N"),"not visually conspicuous",Source!AI10)))</f>
        <v/>
      </c>
      <c r="W10" s="7" t="str">
        <f>IF(Source!AJ10="","",Source!AJ10)</f>
        <v/>
      </c>
    </row>
    <row r="11">
      <c r="A11" s="7" t="str">
        <f>IF(Source!A11="","",Source!A11&amp;"")</f>
        <v/>
      </c>
      <c r="B11" s="7" t="str">
        <f>TRIM(Source!C11&amp;" "&amp;Source!B11&amp;" "&amp;Source!D11)</f>
        <v/>
      </c>
      <c r="C11" s="7" t="str">
        <f>IF(Source!E11="","",Source!E11)</f>
        <v/>
      </c>
      <c r="D11" s="7" t="str">
        <f>IF(Source!F11="","",ROUND(IF(UPPER(Source!I11)="S",-1,1)*(N(Source!F11)+N(Source!G11)/60+N(Source!H11)/3600),7))</f>
        <v/>
      </c>
      <c r="E11" s="7" t="str">
        <f>IF(Source!J11="","",ROUND(IF(UPPER(Source!M11)="W",-1,1)*(N(Source!J11)+N(Source!K11)/60+N(Source!L11)/3600),7))</f>
        <v/>
      </c>
      <c r="F11" s="7" t="str">
        <f>SUBSTITUTE(TRIM(Source!N11&amp;" "&amp;Source!O11&amp;" "&amp;Source!P11)," ","/")</f>
        <v/>
      </c>
      <c r="G11" s="7" t="str">
        <f>IF(Source!Q11="","",Source!Q11)</f>
        <v/>
      </c>
      <c r="H11" s="7" t="str">
        <f>IF(Source!R11="","",Source!R11)</f>
        <v/>
      </c>
      <c r="I11" s="7" t="str">
        <f>IF(Source!S11&lt;&gt;"",Source!S11,IF(Source!C11&lt;&gt;"",Source!C11,""))</f>
        <v/>
      </c>
      <c r="J11" s="7" t="str">
        <f>TRIM(Source!T11&amp;" "&amp;Source!U11&amp;" "&amp;IF(Source!V11="","",Source!V11&amp;"s")&amp;" "&amp;IF(Source!W11="","",Source!W11&amp;"M"))</f>
        <v/>
      </c>
      <c r="K11" s="7" t="str">
        <f>IF(Source!X11="","",Source!X11)</f>
        <v/>
      </c>
      <c r="L11" s="7" t="str">
        <f>IF(Source!Y11="","",Source!Y11)</f>
        <v/>
      </c>
      <c r="M11" s="7" t="str">
        <f>IF(Source!Z11="","",Source!Z11)</f>
        <v/>
      </c>
      <c r="N11" s="7" t="str">
        <f>IF(Source!AA11="","",Source!AA11)</f>
        <v/>
      </c>
      <c r="O11" s="7" t="str">
        <f>IF(Source!AB11="","",Source!AB11)</f>
        <v/>
      </c>
      <c r="P11" s="7" t="str">
        <f>IF(Source!AC11="","",Source!AC11)</f>
        <v/>
      </c>
      <c r="Q11" s="7" t="str">
        <f>IF(Source!AD11="","",TEXT(Source!AD11,"000000000"))</f>
        <v/>
      </c>
      <c r="R11" s="7" t="str">
        <f>IF(Source!AE11="","","physical AIS type "&amp;Source!AE11)</f>
        <v/>
      </c>
      <c r="S11" s="7" t="str">
        <f>IF(Source!AF11="","",IF(LEN(Source!AF11)=1,UPPER(Source!AF11),"yes"))</f>
        <v/>
      </c>
      <c r="T11" s="7" t="str">
        <f>IF(Source!AG11="","",Source!AG11)</f>
        <v/>
      </c>
      <c r="U11" s="7" t="str">
        <f>IF(Source!AH11="","",YEAR(Source!AH11)&amp;"-"&amp;TEXT(MONTH(Source!AH11),"00")&amp;"-"&amp;TEXT(DAY(Source!AH11),"00"))</f>
        <v/>
      </c>
      <c r="V11" s="7" t="str">
        <f>IF(Source!AI11="","",IF(OR(UPPER(Source!AI11)="YES",UPPER(Source!AI11)="Y"),"visually conspicuous",IF(OR(UPPER(Source!AI11)="NO",UPPER(Source!AI11)="N"),"not visually conspicuous",Source!AI11)))</f>
        <v/>
      </c>
      <c r="W11" s="7" t="str">
        <f>IF(Source!AJ11="","",Source!AJ11)</f>
        <v/>
      </c>
    </row>
    <row r="12">
      <c r="A12" s="7" t="str">
        <f>IF(Source!A12="","",Source!A12&amp;"")</f>
        <v/>
      </c>
      <c r="B12" s="7" t="str">
        <f>TRIM(Source!C12&amp;" "&amp;Source!B12&amp;" "&amp;Source!D12)</f>
        <v/>
      </c>
      <c r="C12" s="7" t="str">
        <f>IF(Source!E12="","",Source!E12)</f>
        <v/>
      </c>
      <c r="D12" s="7" t="str">
        <f>IF(Source!F12="","",ROUND(IF(UPPER(Source!I12)="S",-1,1)*(N(Source!F12)+N(Source!G12)/60+N(Source!H12)/3600),7))</f>
        <v/>
      </c>
      <c r="E12" s="7" t="str">
        <f>IF(Source!J12="","",ROUND(IF(UPPER(Source!M12)="W",-1,1)*(N(Source!J12)+N(Source!K12)/60+N(Source!L12)/3600),7))</f>
        <v/>
      </c>
      <c r="F12" s="7" t="str">
        <f>SUBSTITUTE(TRIM(Source!N12&amp;" "&amp;Source!O12&amp;" "&amp;Source!P12)," ","/")</f>
        <v/>
      </c>
      <c r="G12" s="7" t="str">
        <f>IF(Source!Q12="","",Source!Q12)</f>
        <v/>
      </c>
      <c r="H12" s="7" t="str">
        <f>IF(Source!R12="","",Source!R12)</f>
        <v/>
      </c>
      <c r="I12" s="7" t="str">
        <f>IF(Source!S12&lt;&gt;"",Source!S12,IF(Source!C12&lt;&gt;"",Source!C12,""))</f>
        <v/>
      </c>
      <c r="J12" s="7" t="str">
        <f>TRIM(Source!T12&amp;" "&amp;Source!U12&amp;" "&amp;IF(Source!V12="","",Source!V12&amp;"s")&amp;" "&amp;IF(Source!W12="","",Source!W12&amp;"M"))</f>
        <v/>
      </c>
      <c r="K12" s="7" t="str">
        <f>IF(Source!X12="","",Source!X12)</f>
        <v/>
      </c>
      <c r="L12" s="7" t="str">
        <f>IF(Source!Y12="","",Source!Y12)</f>
        <v/>
      </c>
      <c r="M12" s="7" t="str">
        <f>IF(Source!Z12="","",Source!Z12)</f>
        <v/>
      </c>
      <c r="N12" s="7" t="str">
        <f>IF(Source!AA12="","",Source!AA12)</f>
        <v/>
      </c>
      <c r="O12" s="7" t="str">
        <f>IF(Source!AB12="","",Source!AB12)</f>
        <v/>
      </c>
      <c r="P12" s="7" t="str">
        <f>IF(Source!AC12="","",Source!AC12)</f>
        <v/>
      </c>
      <c r="Q12" s="7" t="str">
        <f>IF(Source!AD12="","",TEXT(Source!AD12,"000000000"))</f>
        <v/>
      </c>
      <c r="R12" s="7" t="str">
        <f>IF(Source!AE12="","","physical AIS type "&amp;Source!AE12)</f>
        <v/>
      </c>
      <c r="S12" s="7" t="str">
        <f>IF(Source!AF12="","",IF(LEN(Source!AF12)=1,UPPER(Source!AF12),"yes"))</f>
        <v/>
      </c>
      <c r="T12" s="7" t="str">
        <f>IF(Source!AG12="","",Source!AG12)</f>
        <v/>
      </c>
      <c r="U12" s="7" t="str">
        <f>IF(Source!AH12="","",YEAR(Source!AH12)&amp;"-"&amp;TEXT(MONTH(Source!AH12),"00")&amp;"-"&amp;TEXT(DAY(Source!AH12),"00"))</f>
        <v/>
      </c>
      <c r="V12" s="7" t="str">
        <f>IF(Source!AI12="","",IF(OR(UPPER(Source!AI12)="YES",UPPER(Source!AI12)="Y"),"visually conspicuous",IF(OR(UPPER(Source!AI12)="NO",UPPER(Source!AI12)="N"),"not visually conspicuous",Source!AI12)))</f>
        <v/>
      </c>
      <c r="W12" s="7" t="str">
        <f>IF(Source!AJ12="","",Source!AJ12)</f>
        <v/>
      </c>
    </row>
    <row r="13">
      <c r="A13" s="7" t="str">
        <f>IF(Source!A13="","",Source!A13&amp;"")</f>
        <v/>
      </c>
      <c r="B13" s="7" t="str">
        <f>TRIM(Source!C13&amp;" "&amp;Source!B13&amp;" "&amp;Source!D13)</f>
        <v/>
      </c>
      <c r="C13" s="7" t="str">
        <f>IF(Source!E13="","",Source!E13)</f>
        <v/>
      </c>
      <c r="D13" s="7" t="str">
        <f>IF(Source!F13="","",ROUND(IF(UPPER(Source!I13)="S",-1,1)*(N(Source!F13)+N(Source!G13)/60+N(Source!H13)/3600),7))</f>
        <v/>
      </c>
      <c r="E13" s="7" t="str">
        <f>IF(Source!J13="","",ROUND(IF(UPPER(Source!M13)="W",-1,1)*(N(Source!J13)+N(Source!K13)/60+N(Source!L13)/3600),7))</f>
        <v/>
      </c>
      <c r="F13" s="7" t="str">
        <f>SUBSTITUTE(TRIM(Source!N13&amp;" "&amp;Source!O13&amp;" "&amp;Source!P13)," ","/")</f>
        <v/>
      </c>
      <c r="G13" s="7" t="str">
        <f>IF(Source!Q13="","",Source!Q13)</f>
        <v/>
      </c>
      <c r="H13" s="7" t="str">
        <f>IF(Source!R13="","",Source!R13)</f>
        <v/>
      </c>
      <c r="I13" s="7" t="str">
        <f>IF(Source!S13&lt;&gt;"",Source!S13,IF(Source!C13&lt;&gt;"",Source!C13,""))</f>
        <v/>
      </c>
      <c r="J13" s="7" t="str">
        <f>TRIM(Source!T13&amp;" "&amp;Source!U13&amp;" "&amp;IF(Source!V13="","",Source!V13&amp;"s")&amp;" "&amp;IF(Source!W13="","",Source!W13&amp;"M"))</f>
        <v/>
      </c>
      <c r="K13" s="7" t="str">
        <f>IF(Source!X13="","",Source!X13)</f>
        <v/>
      </c>
      <c r="L13" s="7" t="str">
        <f>IF(Source!Y13="","",Source!Y13)</f>
        <v/>
      </c>
      <c r="M13" s="7" t="str">
        <f>IF(Source!Z13="","",Source!Z13)</f>
        <v/>
      </c>
      <c r="N13" s="7" t="str">
        <f>IF(Source!AA13="","",Source!AA13)</f>
        <v/>
      </c>
      <c r="O13" s="7" t="str">
        <f>IF(Source!AB13="","",Source!AB13)</f>
        <v/>
      </c>
      <c r="P13" s="7" t="str">
        <f>IF(Source!AC13="","",Source!AC13)</f>
        <v/>
      </c>
      <c r="Q13" s="7" t="str">
        <f>IF(Source!AD13="","",TEXT(Source!AD13,"000000000"))</f>
        <v/>
      </c>
      <c r="R13" s="7" t="str">
        <f>IF(Source!AE13="","","physical AIS type "&amp;Source!AE13)</f>
        <v/>
      </c>
      <c r="S13" s="7" t="str">
        <f>IF(Source!AF13="","",IF(LEN(Source!AF13)=1,UPPER(Source!AF13),"yes"))</f>
        <v/>
      </c>
      <c r="T13" s="7" t="str">
        <f>IF(Source!AG13="","",Source!AG13)</f>
        <v/>
      </c>
      <c r="U13" s="7" t="str">
        <f>IF(Source!AH13="","",YEAR(Source!AH13)&amp;"-"&amp;TEXT(MONTH(Source!AH13),"00")&amp;"-"&amp;TEXT(DAY(Source!AH13),"00"))</f>
        <v/>
      </c>
      <c r="V13" s="7" t="str">
        <f>IF(Source!AI13="","",IF(OR(UPPER(Source!AI13)="YES",UPPER(Source!AI13)="Y"),"visually conspicuous",IF(OR(UPPER(Source!AI13)="NO",UPPER(Source!AI13)="N"),"not visually conspicuous",Source!AI13)))</f>
        <v/>
      </c>
      <c r="W13" s="7" t="str">
        <f>IF(Source!AJ13="","",Source!AJ13)</f>
        <v/>
      </c>
    </row>
    <row r="14">
      <c r="A14" s="7" t="str">
        <f>IF(Source!A14="","",Source!A14&amp;"")</f>
        <v/>
      </c>
      <c r="B14" s="7" t="str">
        <f>TRIM(Source!C14&amp;" "&amp;Source!B14&amp;" "&amp;Source!D14)</f>
        <v/>
      </c>
      <c r="C14" s="7" t="str">
        <f>IF(Source!E14="","",Source!E14)</f>
        <v/>
      </c>
      <c r="D14" s="7" t="str">
        <f>IF(Source!F14="","",ROUND(IF(UPPER(Source!I14)="S",-1,1)*(N(Source!F14)+N(Source!G14)/60+N(Source!H14)/3600),7))</f>
        <v/>
      </c>
      <c r="E14" s="7" t="str">
        <f>IF(Source!J14="","",ROUND(IF(UPPER(Source!M14)="W",-1,1)*(N(Source!J14)+N(Source!K14)/60+N(Source!L14)/3600),7))</f>
        <v/>
      </c>
      <c r="F14" s="7" t="str">
        <f>SUBSTITUTE(TRIM(Source!N14&amp;" "&amp;Source!O14&amp;" "&amp;Source!P14)," ","/")</f>
        <v/>
      </c>
      <c r="G14" s="7" t="str">
        <f>IF(Source!Q14="","",Source!Q14)</f>
        <v/>
      </c>
      <c r="H14" s="7" t="str">
        <f>IF(Source!R14="","",Source!R14)</f>
        <v/>
      </c>
      <c r="I14" s="7" t="str">
        <f>IF(Source!S14&lt;&gt;"",Source!S14,IF(Source!C14&lt;&gt;"",Source!C14,""))</f>
        <v/>
      </c>
      <c r="J14" s="7" t="str">
        <f>TRIM(Source!T14&amp;" "&amp;Source!U14&amp;" "&amp;IF(Source!V14="","",Source!V14&amp;"s")&amp;" "&amp;IF(Source!W14="","",Source!W14&amp;"M"))</f>
        <v/>
      </c>
      <c r="K14" s="7" t="str">
        <f>IF(Source!X14="","",Source!X14)</f>
        <v/>
      </c>
      <c r="L14" s="7" t="str">
        <f>IF(Source!Y14="","",Source!Y14)</f>
        <v/>
      </c>
      <c r="M14" s="7" t="str">
        <f>IF(Source!Z14="","",Source!Z14)</f>
        <v/>
      </c>
      <c r="N14" s="7" t="str">
        <f>IF(Source!AA14="","",Source!AA14)</f>
        <v/>
      </c>
      <c r="O14" s="7" t="str">
        <f>IF(Source!AB14="","",Source!AB14)</f>
        <v/>
      </c>
      <c r="P14" s="7" t="str">
        <f>IF(Source!AC14="","",Source!AC14)</f>
        <v/>
      </c>
      <c r="Q14" s="7" t="str">
        <f>IF(Source!AD14="","",TEXT(Source!AD14,"000000000"))</f>
        <v/>
      </c>
      <c r="R14" s="7" t="str">
        <f>IF(Source!AE14="","","physical AIS type "&amp;Source!AE14)</f>
        <v/>
      </c>
      <c r="S14" s="7" t="str">
        <f>IF(Source!AF14="","",IF(LEN(Source!AF14)=1,UPPER(Source!AF14),"yes"))</f>
        <v/>
      </c>
      <c r="T14" s="7" t="str">
        <f>IF(Source!AG14="","",Source!AG14)</f>
        <v/>
      </c>
      <c r="U14" s="7" t="str">
        <f>IF(Source!AH14="","",YEAR(Source!AH14)&amp;"-"&amp;TEXT(MONTH(Source!AH14),"00")&amp;"-"&amp;TEXT(DAY(Source!AH14),"00"))</f>
        <v/>
      </c>
      <c r="V14" s="7" t="str">
        <f>IF(Source!AI14="","",IF(OR(UPPER(Source!AI14)="YES",UPPER(Source!AI14)="Y"),"visually conspicuous",IF(OR(UPPER(Source!AI14)="NO",UPPER(Source!AI14)="N"),"not visually conspicuous",Source!AI14)))</f>
        <v/>
      </c>
      <c r="W14" s="7" t="str">
        <f>IF(Source!AJ14="","",Source!AJ14)</f>
        <v/>
      </c>
    </row>
    <row r="15">
      <c r="A15" s="7" t="str">
        <f>IF(Source!A15="","",Source!A15&amp;"")</f>
        <v/>
      </c>
      <c r="B15" s="7" t="str">
        <f>TRIM(Source!C15&amp;" "&amp;Source!B15&amp;" "&amp;Source!D15)</f>
        <v/>
      </c>
      <c r="C15" s="7" t="str">
        <f>IF(Source!E15="","",Source!E15)</f>
        <v/>
      </c>
      <c r="D15" s="7" t="str">
        <f>IF(Source!F15="","",ROUND(IF(UPPER(Source!I15)="S",-1,1)*(N(Source!F15)+N(Source!G15)/60+N(Source!H15)/3600),7))</f>
        <v/>
      </c>
      <c r="E15" s="7" t="str">
        <f>IF(Source!J15="","",ROUND(IF(UPPER(Source!M15)="W",-1,1)*(N(Source!J15)+N(Source!K15)/60+N(Source!L15)/3600),7))</f>
        <v/>
      </c>
      <c r="F15" s="7" t="str">
        <f>SUBSTITUTE(TRIM(Source!N15&amp;" "&amp;Source!O15&amp;" "&amp;Source!P15)," ","/")</f>
        <v/>
      </c>
      <c r="G15" s="7" t="str">
        <f>IF(Source!Q15="","",Source!Q15)</f>
        <v/>
      </c>
      <c r="H15" s="7" t="str">
        <f>IF(Source!R15="","",Source!R15)</f>
        <v/>
      </c>
      <c r="I15" s="7" t="str">
        <f>IF(Source!S15&lt;&gt;"",Source!S15,IF(Source!C15&lt;&gt;"",Source!C15,""))</f>
        <v/>
      </c>
      <c r="J15" s="7" t="str">
        <f>TRIM(Source!T15&amp;" "&amp;Source!U15&amp;" "&amp;IF(Source!V15="","",Source!V15&amp;"s")&amp;" "&amp;IF(Source!W15="","",Source!W15&amp;"M"))</f>
        <v/>
      </c>
      <c r="K15" s="7" t="str">
        <f>IF(Source!X15="","",Source!X15)</f>
        <v/>
      </c>
      <c r="L15" s="7" t="str">
        <f>IF(Source!Y15="","",Source!Y15)</f>
        <v/>
      </c>
      <c r="M15" s="7" t="str">
        <f>IF(Source!Z15="","",Source!Z15)</f>
        <v/>
      </c>
      <c r="N15" s="7" t="str">
        <f>IF(Source!AA15="","",Source!AA15)</f>
        <v/>
      </c>
      <c r="O15" s="7" t="str">
        <f>IF(Source!AB15="","",Source!AB15)</f>
        <v/>
      </c>
      <c r="P15" s="7" t="str">
        <f>IF(Source!AC15="","",Source!AC15)</f>
        <v/>
      </c>
      <c r="Q15" s="7" t="str">
        <f>IF(Source!AD15="","",TEXT(Source!AD15,"000000000"))</f>
        <v/>
      </c>
      <c r="R15" s="7" t="str">
        <f>IF(Source!AE15="","","physical AIS type "&amp;Source!AE15)</f>
        <v/>
      </c>
      <c r="S15" s="7" t="str">
        <f>IF(Source!AF15="","",IF(LEN(Source!AF15)=1,UPPER(Source!AF15),"yes"))</f>
        <v/>
      </c>
      <c r="T15" s="7" t="str">
        <f>IF(Source!AG15="","",Source!AG15)</f>
        <v/>
      </c>
      <c r="U15" s="7" t="str">
        <f>IF(Source!AH15="","",YEAR(Source!AH15)&amp;"-"&amp;TEXT(MONTH(Source!AH15),"00")&amp;"-"&amp;TEXT(DAY(Source!AH15),"00"))</f>
        <v/>
      </c>
      <c r="V15" s="7" t="str">
        <f>IF(Source!AI15="","",IF(OR(UPPER(Source!AI15)="YES",UPPER(Source!AI15)="Y"),"visually conspicuous",IF(OR(UPPER(Source!AI15)="NO",UPPER(Source!AI15)="N"),"not visually conspicuous",Source!AI15)))</f>
        <v/>
      </c>
      <c r="W15" s="7" t="str">
        <f>IF(Source!AJ15="","",Source!AJ15)</f>
        <v/>
      </c>
    </row>
    <row r="16">
      <c r="A16" s="7" t="str">
        <f>IF(Source!A16="","",Source!A16&amp;"")</f>
        <v/>
      </c>
      <c r="B16" s="7" t="str">
        <f>TRIM(Source!C16&amp;" "&amp;Source!B16&amp;" "&amp;Source!D16)</f>
        <v/>
      </c>
      <c r="C16" s="7" t="str">
        <f>IF(Source!E16="","",Source!E16)</f>
        <v/>
      </c>
      <c r="D16" s="7" t="str">
        <f>IF(Source!F16="","",ROUND(IF(UPPER(Source!I16)="S",-1,1)*(N(Source!F16)+N(Source!G16)/60+N(Source!H16)/3600),7))</f>
        <v/>
      </c>
      <c r="E16" s="7" t="str">
        <f>IF(Source!J16="","",ROUND(IF(UPPER(Source!M16)="W",-1,1)*(N(Source!J16)+N(Source!K16)/60+N(Source!L16)/3600),7))</f>
        <v/>
      </c>
      <c r="F16" s="7" t="str">
        <f>SUBSTITUTE(TRIM(Source!N16&amp;" "&amp;Source!O16&amp;" "&amp;Source!P16)," ","/")</f>
        <v/>
      </c>
      <c r="G16" s="7" t="str">
        <f>IF(Source!Q16="","",Source!Q16)</f>
        <v/>
      </c>
      <c r="H16" s="7" t="str">
        <f>IF(Source!R16="","",Source!R16)</f>
        <v/>
      </c>
      <c r="I16" s="7" t="str">
        <f>IF(Source!S16&lt;&gt;"",Source!S16,IF(Source!C16&lt;&gt;"",Source!C16,""))</f>
        <v/>
      </c>
      <c r="J16" s="7" t="str">
        <f>TRIM(Source!T16&amp;" "&amp;Source!U16&amp;" "&amp;IF(Source!V16="","",Source!V16&amp;"s")&amp;" "&amp;IF(Source!W16="","",Source!W16&amp;"M"))</f>
        <v/>
      </c>
      <c r="K16" s="7" t="str">
        <f>IF(Source!X16="","",Source!X16)</f>
        <v/>
      </c>
      <c r="L16" s="7" t="str">
        <f>IF(Source!Y16="","",Source!Y16)</f>
        <v/>
      </c>
      <c r="M16" s="7" t="str">
        <f>IF(Source!Z16="","",Source!Z16)</f>
        <v/>
      </c>
      <c r="N16" s="7" t="str">
        <f>IF(Source!AA16="","",Source!AA16)</f>
        <v/>
      </c>
      <c r="O16" s="7" t="str">
        <f>IF(Source!AB16="","",Source!AB16)</f>
        <v/>
      </c>
      <c r="P16" s="7" t="str">
        <f>IF(Source!AC16="","",Source!AC16)</f>
        <v/>
      </c>
      <c r="Q16" s="7" t="str">
        <f>IF(Source!AD16="","",TEXT(Source!AD16,"000000000"))</f>
        <v/>
      </c>
      <c r="R16" s="7" t="str">
        <f>IF(Source!AE16="","","physical AIS type "&amp;Source!AE16)</f>
        <v/>
      </c>
      <c r="S16" s="7" t="str">
        <f>IF(Source!AF16="","",IF(LEN(Source!AF16)=1,UPPER(Source!AF16),"yes"))</f>
        <v/>
      </c>
      <c r="T16" s="7" t="str">
        <f>IF(Source!AG16="","",Source!AG16)</f>
        <v/>
      </c>
      <c r="U16" s="7" t="str">
        <f>IF(Source!AH16="","",YEAR(Source!AH16)&amp;"-"&amp;TEXT(MONTH(Source!AH16),"00")&amp;"-"&amp;TEXT(DAY(Source!AH16),"00"))</f>
        <v/>
      </c>
      <c r="V16" s="7" t="str">
        <f>IF(Source!AI16="","",IF(OR(UPPER(Source!AI16)="YES",UPPER(Source!AI16)="Y"),"visually conspicuous",IF(OR(UPPER(Source!AI16)="NO",UPPER(Source!AI16)="N"),"not visually conspicuous",Source!AI16)))</f>
        <v/>
      </c>
      <c r="W16" s="7" t="str">
        <f>IF(Source!AJ16="","",Source!AJ16)</f>
        <v/>
      </c>
    </row>
    <row r="17">
      <c r="A17" s="7" t="str">
        <f>IF(Source!A17="","",Source!A17&amp;"")</f>
        <v/>
      </c>
      <c r="B17" s="7" t="str">
        <f>TRIM(Source!C17&amp;" "&amp;Source!B17&amp;" "&amp;Source!D17)</f>
        <v/>
      </c>
      <c r="C17" s="7" t="str">
        <f>IF(Source!E17="","",Source!E17)</f>
        <v/>
      </c>
      <c r="D17" s="7" t="str">
        <f>IF(Source!F17="","",ROUND(IF(UPPER(Source!I17)="S",-1,1)*(N(Source!F17)+N(Source!G17)/60+N(Source!H17)/3600),7))</f>
        <v/>
      </c>
      <c r="E17" s="7" t="str">
        <f>IF(Source!J17="","",ROUND(IF(UPPER(Source!M17)="W",-1,1)*(N(Source!J17)+N(Source!K17)/60+N(Source!L17)/3600),7))</f>
        <v/>
      </c>
      <c r="F17" s="7" t="str">
        <f>SUBSTITUTE(TRIM(Source!N17&amp;" "&amp;Source!O17&amp;" "&amp;Source!P17)," ","/")</f>
        <v/>
      </c>
      <c r="G17" s="7" t="str">
        <f>IF(Source!Q17="","",Source!Q17)</f>
        <v/>
      </c>
      <c r="H17" s="7" t="str">
        <f>IF(Source!R17="","",Source!R17)</f>
        <v/>
      </c>
      <c r="I17" s="7" t="str">
        <f>IF(Source!S17&lt;&gt;"",Source!S17,IF(Source!C17&lt;&gt;"",Source!C17,""))</f>
        <v/>
      </c>
      <c r="J17" s="7" t="str">
        <f>TRIM(Source!T17&amp;" "&amp;Source!U17&amp;" "&amp;IF(Source!V17="","",Source!V17&amp;"s")&amp;" "&amp;IF(Source!W17="","",Source!W17&amp;"M"))</f>
        <v/>
      </c>
      <c r="K17" s="7" t="str">
        <f>IF(Source!X17="","",Source!X17)</f>
        <v/>
      </c>
      <c r="L17" s="7" t="str">
        <f>IF(Source!Y17="","",Source!Y17)</f>
        <v/>
      </c>
      <c r="M17" s="7" t="str">
        <f>IF(Source!Z17="","",Source!Z17)</f>
        <v/>
      </c>
      <c r="N17" s="7" t="str">
        <f>IF(Source!AA17="","",Source!AA17)</f>
        <v/>
      </c>
      <c r="O17" s="7" t="str">
        <f>IF(Source!AB17="","",Source!AB17)</f>
        <v/>
      </c>
      <c r="P17" s="7" t="str">
        <f>IF(Source!AC17="","",Source!AC17)</f>
        <v/>
      </c>
      <c r="Q17" s="7" t="str">
        <f>IF(Source!AD17="","",TEXT(Source!AD17,"000000000"))</f>
        <v/>
      </c>
      <c r="R17" s="7" t="str">
        <f>IF(Source!AE17="","","physical AIS type "&amp;Source!AE17)</f>
        <v/>
      </c>
      <c r="S17" s="7" t="str">
        <f>IF(Source!AF17="","",IF(LEN(Source!AF17)=1,UPPER(Source!AF17),"yes"))</f>
        <v/>
      </c>
      <c r="T17" s="7" t="str">
        <f>IF(Source!AG17="","",Source!AG17)</f>
        <v/>
      </c>
      <c r="U17" s="7" t="str">
        <f>IF(Source!AH17="","",YEAR(Source!AH17)&amp;"-"&amp;TEXT(MONTH(Source!AH17),"00")&amp;"-"&amp;TEXT(DAY(Source!AH17),"00"))</f>
        <v/>
      </c>
      <c r="V17" s="7" t="str">
        <f>IF(Source!AI17="","",IF(OR(UPPER(Source!AI17)="YES",UPPER(Source!AI17)="Y"),"visually conspicuous",IF(OR(UPPER(Source!AI17)="NO",UPPER(Source!AI17)="N"),"not visually conspicuous",Source!AI17)))</f>
        <v/>
      </c>
      <c r="W17" s="7" t="str">
        <f>IF(Source!AJ17="","",Source!AJ17)</f>
        <v/>
      </c>
    </row>
    <row r="18">
      <c r="A18" s="7" t="str">
        <f>IF(Source!A18="","",Source!A18&amp;"")</f>
        <v/>
      </c>
      <c r="B18" s="7" t="str">
        <f>TRIM(Source!C18&amp;" "&amp;Source!B18&amp;" "&amp;Source!D18)</f>
        <v/>
      </c>
      <c r="C18" s="7" t="str">
        <f>IF(Source!E18="","",Source!E18)</f>
        <v/>
      </c>
      <c r="D18" s="7" t="str">
        <f>IF(Source!F18="","",ROUND(IF(UPPER(Source!I18)="S",-1,1)*(N(Source!F18)+N(Source!G18)/60+N(Source!H18)/3600),7))</f>
        <v/>
      </c>
      <c r="E18" s="7" t="str">
        <f>IF(Source!J18="","",ROUND(IF(UPPER(Source!M18)="W",-1,1)*(N(Source!J18)+N(Source!K18)/60+N(Source!L18)/3600),7))</f>
        <v/>
      </c>
      <c r="F18" s="7" t="str">
        <f>SUBSTITUTE(TRIM(Source!N18&amp;" "&amp;Source!O18&amp;" "&amp;Source!P18)," ","/")</f>
        <v/>
      </c>
      <c r="G18" s="7" t="str">
        <f>IF(Source!Q18="","",Source!Q18)</f>
        <v/>
      </c>
      <c r="H18" s="7" t="str">
        <f>IF(Source!R18="","",Source!R18)</f>
        <v/>
      </c>
      <c r="I18" s="7" t="str">
        <f>IF(Source!S18&lt;&gt;"",Source!S18,IF(Source!C18&lt;&gt;"",Source!C18,""))</f>
        <v/>
      </c>
      <c r="J18" s="7" t="str">
        <f>TRIM(Source!T18&amp;" "&amp;Source!U18&amp;" "&amp;IF(Source!V18="","",Source!V18&amp;"s")&amp;" "&amp;IF(Source!W18="","",Source!W18&amp;"M"))</f>
        <v/>
      </c>
      <c r="K18" s="7" t="str">
        <f>IF(Source!X18="","",Source!X18)</f>
        <v/>
      </c>
      <c r="L18" s="7" t="str">
        <f>IF(Source!Y18="","",Source!Y18)</f>
        <v/>
      </c>
      <c r="M18" s="7" t="str">
        <f>IF(Source!Z18="","",Source!Z18)</f>
        <v/>
      </c>
      <c r="N18" s="7" t="str">
        <f>IF(Source!AA18="","",Source!AA18)</f>
        <v/>
      </c>
      <c r="O18" s="7" t="str">
        <f>IF(Source!AB18="","",Source!AB18)</f>
        <v/>
      </c>
      <c r="P18" s="7" t="str">
        <f>IF(Source!AC18="","",Source!AC18)</f>
        <v/>
      </c>
      <c r="Q18" s="7" t="str">
        <f>IF(Source!AD18="","",TEXT(Source!AD18,"000000000"))</f>
        <v/>
      </c>
      <c r="R18" s="7" t="str">
        <f>IF(Source!AE18="","","physical AIS type "&amp;Source!AE18)</f>
        <v/>
      </c>
      <c r="S18" s="7" t="str">
        <f>IF(Source!AF18="","",IF(LEN(Source!AF18)=1,UPPER(Source!AF18),"yes"))</f>
        <v/>
      </c>
      <c r="T18" s="7" t="str">
        <f>IF(Source!AG18="","",Source!AG18)</f>
        <v/>
      </c>
      <c r="U18" s="7" t="str">
        <f>IF(Source!AH18="","",YEAR(Source!AH18)&amp;"-"&amp;TEXT(MONTH(Source!AH18),"00")&amp;"-"&amp;TEXT(DAY(Source!AH18),"00"))</f>
        <v/>
      </c>
      <c r="V18" s="7" t="str">
        <f>IF(Source!AI18="","",IF(OR(UPPER(Source!AI18)="YES",UPPER(Source!AI18)="Y"),"visually conspicuous",IF(OR(UPPER(Source!AI18)="NO",UPPER(Source!AI18)="N"),"not visually conspicuous",Source!AI18)))</f>
        <v/>
      </c>
      <c r="W18" s="7" t="str">
        <f>IF(Source!AJ18="","",Source!AJ18)</f>
        <v/>
      </c>
    </row>
    <row r="19">
      <c r="A19" s="7" t="str">
        <f>IF(Source!A19="","",Source!A19&amp;"")</f>
        <v/>
      </c>
      <c r="B19" s="7" t="str">
        <f>TRIM(Source!C19&amp;" "&amp;Source!B19&amp;" "&amp;Source!D19)</f>
        <v/>
      </c>
      <c r="C19" s="7" t="str">
        <f>IF(Source!E19="","",Source!E19)</f>
        <v/>
      </c>
      <c r="D19" s="7" t="str">
        <f>IF(Source!F19="","",ROUND(IF(UPPER(Source!I19)="S",-1,1)*(N(Source!F19)+N(Source!G19)/60+N(Source!H19)/3600),7))</f>
        <v/>
      </c>
      <c r="E19" s="7" t="str">
        <f>IF(Source!J19="","",ROUND(IF(UPPER(Source!M19)="W",-1,1)*(N(Source!J19)+N(Source!K19)/60+N(Source!L19)/3600),7))</f>
        <v/>
      </c>
      <c r="F19" s="7" t="str">
        <f>SUBSTITUTE(TRIM(Source!N19&amp;" "&amp;Source!O19&amp;" "&amp;Source!P19)," ","/")</f>
        <v/>
      </c>
      <c r="G19" s="7" t="str">
        <f>IF(Source!Q19="","",Source!Q19)</f>
        <v/>
      </c>
      <c r="H19" s="7" t="str">
        <f>IF(Source!R19="","",Source!R19)</f>
        <v/>
      </c>
      <c r="I19" s="7" t="str">
        <f>IF(Source!S19&lt;&gt;"",Source!S19,IF(Source!C19&lt;&gt;"",Source!C19,""))</f>
        <v/>
      </c>
      <c r="J19" s="7" t="str">
        <f>TRIM(Source!T19&amp;" "&amp;Source!U19&amp;" "&amp;IF(Source!V19="","",Source!V19&amp;"s")&amp;" "&amp;IF(Source!W19="","",Source!W19&amp;"M"))</f>
        <v/>
      </c>
      <c r="K19" s="7" t="str">
        <f>IF(Source!X19="","",Source!X19)</f>
        <v/>
      </c>
      <c r="L19" s="7" t="str">
        <f>IF(Source!Y19="","",Source!Y19)</f>
        <v/>
      </c>
      <c r="M19" s="7" t="str">
        <f>IF(Source!Z19="","",Source!Z19)</f>
        <v/>
      </c>
      <c r="N19" s="7" t="str">
        <f>IF(Source!AA19="","",Source!AA19)</f>
        <v/>
      </c>
      <c r="O19" s="7" t="str">
        <f>IF(Source!AB19="","",Source!AB19)</f>
        <v/>
      </c>
      <c r="P19" s="7" t="str">
        <f>IF(Source!AC19="","",Source!AC19)</f>
        <v/>
      </c>
      <c r="Q19" s="7" t="str">
        <f>IF(Source!AD19="","",TEXT(Source!AD19,"000000000"))</f>
        <v/>
      </c>
      <c r="R19" s="7" t="str">
        <f>IF(Source!AE19="","","physical AIS type "&amp;Source!AE19)</f>
        <v/>
      </c>
      <c r="S19" s="7" t="str">
        <f>IF(Source!AF19="","",IF(LEN(Source!AF19)=1,UPPER(Source!AF19),"yes"))</f>
        <v/>
      </c>
      <c r="T19" s="7" t="str">
        <f>IF(Source!AG19="","",Source!AG19)</f>
        <v/>
      </c>
      <c r="U19" s="7" t="str">
        <f>IF(Source!AH19="","",YEAR(Source!AH19)&amp;"-"&amp;TEXT(MONTH(Source!AH19),"00")&amp;"-"&amp;TEXT(DAY(Source!AH19),"00"))</f>
        <v/>
      </c>
      <c r="V19" s="7" t="str">
        <f>IF(Source!AI19="","",IF(OR(UPPER(Source!AI19)="YES",UPPER(Source!AI19)="Y"),"visually conspicuous",IF(OR(UPPER(Source!AI19)="NO",UPPER(Source!AI19)="N"),"not visually conspicuous",Source!AI19)))</f>
        <v/>
      </c>
      <c r="W19" s="7" t="str">
        <f>IF(Source!AJ19="","",Source!AJ19)</f>
        <v/>
      </c>
    </row>
    <row r="20">
      <c r="A20" s="7" t="str">
        <f>IF(Source!A20="","",Source!A20&amp;"")</f>
        <v/>
      </c>
      <c r="B20" s="7" t="str">
        <f>TRIM(Source!C20&amp;" "&amp;Source!B20&amp;" "&amp;Source!D20)</f>
        <v/>
      </c>
      <c r="C20" s="7" t="str">
        <f>IF(Source!E20="","",Source!E20)</f>
        <v/>
      </c>
      <c r="D20" s="7" t="str">
        <f>IF(Source!F20="","",ROUND(IF(UPPER(Source!I20)="S",-1,1)*(N(Source!F20)+N(Source!G20)/60+N(Source!H20)/3600),7))</f>
        <v/>
      </c>
      <c r="E20" s="7" t="str">
        <f>IF(Source!J20="","",ROUND(IF(UPPER(Source!M20)="W",-1,1)*(N(Source!J20)+N(Source!K20)/60+N(Source!L20)/3600),7))</f>
        <v/>
      </c>
      <c r="F20" s="7" t="str">
        <f>SUBSTITUTE(TRIM(Source!N20&amp;" "&amp;Source!O20&amp;" "&amp;Source!P20)," ","/")</f>
        <v/>
      </c>
      <c r="G20" s="7" t="str">
        <f>IF(Source!Q20="","",Source!Q20)</f>
        <v/>
      </c>
      <c r="H20" s="7" t="str">
        <f>IF(Source!R20="","",Source!R20)</f>
        <v/>
      </c>
      <c r="I20" s="7" t="str">
        <f>IF(Source!S20&lt;&gt;"",Source!S20,IF(Source!C20&lt;&gt;"",Source!C20,""))</f>
        <v/>
      </c>
      <c r="J20" s="7" t="str">
        <f>TRIM(Source!T20&amp;" "&amp;Source!U20&amp;" "&amp;IF(Source!V20="","",Source!V20&amp;"s")&amp;" "&amp;IF(Source!W20="","",Source!W20&amp;"M"))</f>
        <v/>
      </c>
      <c r="K20" s="7" t="str">
        <f>IF(Source!X20="","",Source!X20)</f>
        <v/>
      </c>
      <c r="L20" s="7" t="str">
        <f>IF(Source!Y20="","",Source!Y20)</f>
        <v/>
      </c>
      <c r="M20" s="7" t="str">
        <f>IF(Source!Z20="","",Source!Z20)</f>
        <v/>
      </c>
      <c r="N20" s="7" t="str">
        <f>IF(Source!AA20="","",Source!AA20)</f>
        <v/>
      </c>
      <c r="O20" s="7" t="str">
        <f>IF(Source!AB20="","",Source!AB20)</f>
        <v/>
      </c>
      <c r="P20" s="7" t="str">
        <f>IF(Source!AC20="","",Source!AC20)</f>
        <v/>
      </c>
      <c r="Q20" s="7" t="str">
        <f>IF(Source!AD20="","",TEXT(Source!AD20,"000000000"))</f>
        <v/>
      </c>
      <c r="R20" s="7" t="str">
        <f>IF(Source!AE20="","","physical AIS type "&amp;Source!AE20)</f>
        <v/>
      </c>
      <c r="S20" s="7" t="str">
        <f>IF(Source!AF20="","",IF(LEN(Source!AF20)=1,UPPER(Source!AF20),"yes"))</f>
        <v/>
      </c>
      <c r="T20" s="7" t="str">
        <f>IF(Source!AG20="","",Source!AG20)</f>
        <v/>
      </c>
      <c r="U20" s="7" t="str">
        <f>IF(Source!AH20="","",YEAR(Source!AH20)&amp;"-"&amp;TEXT(MONTH(Source!AH20),"00")&amp;"-"&amp;TEXT(DAY(Source!AH20),"00"))</f>
        <v/>
      </c>
      <c r="V20" s="7" t="str">
        <f>IF(Source!AI20="","",IF(OR(UPPER(Source!AI20)="YES",UPPER(Source!AI20)="Y"),"visually conspicuous",IF(OR(UPPER(Source!AI20)="NO",UPPER(Source!AI20)="N"),"not visually conspicuous",Source!AI20)))</f>
        <v/>
      </c>
      <c r="W20" s="7" t="str">
        <f>IF(Source!AJ20="","",Source!AJ20)</f>
        <v/>
      </c>
    </row>
    <row r="21">
      <c r="A21" s="7" t="str">
        <f>IF(Source!A21="","",Source!A21&amp;"")</f>
        <v/>
      </c>
      <c r="B21" s="7" t="str">
        <f>TRIM(Source!C21&amp;" "&amp;Source!B21&amp;" "&amp;Source!D21)</f>
        <v/>
      </c>
      <c r="C21" s="7" t="str">
        <f>IF(Source!E21="","",Source!E21)</f>
        <v/>
      </c>
      <c r="D21" s="7" t="str">
        <f>IF(Source!F21="","",ROUND(IF(UPPER(Source!I21)="S",-1,1)*(N(Source!F21)+N(Source!G21)/60+N(Source!H21)/3600),7))</f>
        <v/>
      </c>
      <c r="E21" s="7" t="str">
        <f>IF(Source!J21="","",ROUND(IF(UPPER(Source!M21)="W",-1,1)*(N(Source!J21)+N(Source!K21)/60+N(Source!L21)/3600),7))</f>
        <v/>
      </c>
      <c r="F21" s="7" t="str">
        <f>SUBSTITUTE(TRIM(Source!N21&amp;" "&amp;Source!O21&amp;" "&amp;Source!P21)," ","/")</f>
        <v/>
      </c>
      <c r="G21" s="7" t="str">
        <f>IF(Source!Q21="","",Source!Q21)</f>
        <v/>
      </c>
      <c r="H21" s="7" t="str">
        <f>IF(Source!R21="","",Source!R21)</f>
        <v/>
      </c>
      <c r="I21" s="7" t="str">
        <f>IF(Source!S21&lt;&gt;"",Source!S21,IF(Source!C21&lt;&gt;"",Source!C21,""))</f>
        <v/>
      </c>
      <c r="J21" s="7" t="str">
        <f>TRIM(Source!T21&amp;" "&amp;Source!U21&amp;" "&amp;IF(Source!V21="","",Source!V21&amp;"s")&amp;" "&amp;IF(Source!W21="","",Source!W21&amp;"M"))</f>
        <v/>
      </c>
      <c r="K21" s="7" t="str">
        <f>IF(Source!X21="","",Source!X21)</f>
        <v/>
      </c>
      <c r="L21" s="7" t="str">
        <f>IF(Source!Y21="","",Source!Y21)</f>
        <v/>
      </c>
      <c r="M21" s="7" t="str">
        <f>IF(Source!Z21="","",Source!Z21)</f>
        <v/>
      </c>
      <c r="N21" s="7" t="str">
        <f>IF(Source!AA21="","",Source!AA21)</f>
        <v/>
      </c>
      <c r="O21" s="7" t="str">
        <f>IF(Source!AB21="","",Source!AB21)</f>
        <v/>
      </c>
      <c r="P21" s="7" t="str">
        <f>IF(Source!AC21="","",Source!AC21)</f>
        <v/>
      </c>
      <c r="Q21" s="7" t="str">
        <f>IF(Source!AD21="","",TEXT(Source!AD21,"000000000"))</f>
        <v/>
      </c>
      <c r="R21" s="7" t="str">
        <f>IF(Source!AE21="","","physical AIS type "&amp;Source!AE21)</f>
        <v/>
      </c>
      <c r="S21" s="7" t="str">
        <f>IF(Source!AF21="","",IF(LEN(Source!AF21)=1,UPPER(Source!AF21),"yes"))</f>
        <v/>
      </c>
      <c r="T21" s="7" t="str">
        <f>IF(Source!AG21="","",Source!AG21)</f>
        <v/>
      </c>
      <c r="U21" s="7" t="str">
        <f>IF(Source!AH21="","",YEAR(Source!AH21)&amp;"-"&amp;TEXT(MONTH(Source!AH21),"00")&amp;"-"&amp;TEXT(DAY(Source!AH21),"00"))</f>
        <v/>
      </c>
      <c r="V21" s="7" t="str">
        <f>IF(Source!AI21="","",IF(OR(UPPER(Source!AI21)="YES",UPPER(Source!AI21)="Y"),"visually conspicuous",IF(OR(UPPER(Source!AI21)="NO",UPPER(Source!AI21)="N"),"not visually conspicuous",Source!AI21)))</f>
        <v/>
      </c>
      <c r="W21" s="7" t="str">
        <f>IF(Source!AJ21="","",Source!AJ21)</f>
        <v/>
      </c>
    </row>
    <row r="22">
      <c r="A22" s="7" t="str">
        <f>IF(Source!A22="","",Source!A22&amp;"")</f>
        <v/>
      </c>
      <c r="B22" s="7" t="str">
        <f>TRIM(Source!C22&amp;" "&amp;Source!B22&amp;" "&amp;Source!D22)</f>
        <v/>
      </c>
      <c r="C22" s="7" t="str">
        <f>IF(Source!E22="","",Source!E22)</f>
        <v/>
      </c>
      <c r="D22" s="7" t="str">
        <f>IF(Source!F22="","",ROUND(IF(UPPER(Source!I22)="S",-1,1)*(N(Source!F22)+N(Source!G22)/60+N(Source!H22)/3600),7))</f>
        <v/>
      </c>
      <c r="E22" s="7" t="str">
        <f>IF(Source!J22="","",ROUND(IF(UPPER(Source!M22)="W",-1,1)*(N(Source!J22)+N(Source!K22)/60+N(Source!L22)/3600),7))</f>
        <v/>
      </c>
      <c r="F22" s="7" t="str">
        <f>SUBSTITUTE(TRIM(Source!N22&amp;" "&amp;Source!O22&amp;" "&amp;Source!P22)," ","/")</f>
        <v/>
      </c>
      <c r="G22" s="7" t="str">
        <f>IF(Source!Q22="","",Source!Q22)</f>
        <v/>
      </c>
      <c r="H22" s="7" t="str">
        <f>IF(Source!R22="","",Source!R22)</f>
        <v/>
      </c>
      <c r="I22" s="7" t="str">
        <f>IF(Source!S22&lt;&gt;"",Source!S22,IF(Source!C22&lt;&gt;"",Source!C22,""))</f>
        <v/>
      </c>
      <c r="J22" s="7" t="str">
        <f>TRIM(Source!T22&amp;" "&amp;Source!U22&amp;" "&amp;IF(Source!V22="","",Source!V22&amp;"s")&amp;" "&amp;IF(Source!W22="","",Source!W22&amp;"M"))</f>
        <v/>
      </c>
      <c r="K22" s="7" t="str">
        <f>IF(Source!X22="","",Source!X22)</f>
        <v/>
      </c>
      <c r="L22" s="7" t="str">
        <f>IF(Source!Y22="","",Source!Y22)</f>
        <v/>
      </c>
      <c r="M22" s="7" t="str">
        <f>IF(Source!Z22="","",Source!Z22)</f>
        <v/>
      </c>
      <c r="N22" s="7" t="str">
        <f>IF(Source!AA22="","",Source!AA22)</f>
        <v/>
      </c>
      <c r="O22" s="7" t="str">
        <f>IF(Source!AB22="","",Source!AB22)</f>
        <v/>
      </c>
      <c r="P22" s="7" t="str">
        <f>IF(Source!AC22="","",Source!AC22)</f>
        <v/>
      </c>
      <c r="Q22" s="7" t="str">
        <f>IF(Source!AD22="","",TEXT(Source!AD22,"000000000"))</f>
        <v/>
      </c>
      <c r="R22" s="7" t="str">
        <f>IF(Source!AE22="","","physical AIS type "&amp;Source!AE22)</f>
        <v/>
      </c>
      <c r="S22" s="7" t="str">
        <f>IF(Source!AF22="","",IF(LEN(Source!AF22)=1,UPPER(Source!AF22),"yes"))</f>
        <v/>
      </c>
      <c r="T22" s="7" t="str">
        <f>IF(Source!AG22="","",Source!AG22)</f>
        <v/>
      </c>
      <c r="U22" s="7" t="str">
        <f>IF(Source!AH22="","",YEAR(Source!AH22)&amp;"-"&amp;TEXT(MONTH(Source!AH22),"00")&amp;"-"&amp;TEXT(DAY(Source!AH22),"00"))</f>
        <v/>
      </c>
      <c r="V22" s="7" t="str">
        <f>IF(Source!AI22="","",IF(OR(UPPER(Source!AI22)="YES",UPPER(Source!AI22)="Y"),"visually conspicuous",IF(OR(UPPER(Source!AI22)="NO",UPPER(Source!AI22)="N"),"not visually conspicuous",Source!AI22)))</f>
        <v/>
      </c>
      <c r="W22" s="7" t="str">
        <f>IF(Source!AJ22="","",Source!AJ22)</f>
        <v/>
      </c>
    </row>
    <row r="23">
      <c r="A23" s="7" t="str">
        <f>IF(Source!A23="","",Source!A23&amp;"")</f>
        <v/>
      </c>
      <c r="B23" s="7" t="str">
        <f>TRIM(Source!C23&amp;" "&amp;Source!B23&amp;" "&amp;Source!D23)</f>
        <v/>
      </c>
      <c r="C23" s="7" t="str">
        <f>IF(Source!E23="","",Source!E23)</f>
        <v/>
      </c>
      <c r="D23" s="7" t="str">
        <f>IF(Source!F23="","",ROUND(IF(UPPER(Source!I23)="S",-1,1)*(N(Source!F23)+N(Source!G23)/60+N(Source!H23)/3600),7))</f>
        <v/>
      </c>
      <c r="E23" s="7" t="str">
        <f>IF(Source!J23="","",ROUND(IF(UPPER(Source!M23)="W",-1,1)*(N(Source!J23)+N(Source!K23)/60+N(Source!L23)/3600),7))</f>
        <v/>
      </c>
      <c r="F23" s="7" t="str">
        <f>SUBSTITUTE(TRIM(Source!N23&amp;" "&amp;Source!O23&amp;" "&amp;Source!P23)," ","/")</f>
        <v/>
      </c>
      <c r="G23" s="7" t="str">
        <f>IF(Source!Q23="","",Source!Q23)</f>
        <v/>
      </c>
      <c r="H23" s="7" t="str">
        <f>IF(Source!R23="","",Source!R23)</f>
        <v/>
      </c>
      <c r="I23" s="7" t="str">
        <f>IF(Source!S23&lt;&gt;"",Source!S23,IF(Source!C23&lt;&gt;"",Source!C23,""))</f>
        <v/>
      </c>
      <c r="J23" s="7" t="str">
        <f>TRIM(Source!T23&amp;" "&amp;Source!U23&amp;" "&amp;IF(Source!V23="","",Source!V23&amp;"s")&amp;" "&amp;IF(Source!W23="","",Source!W23&amp;"M"))</f>
        <v/>
      </c>
      <c r="K23" s="7" t="str">
        <f>IF(Source!X23="","",Source!X23)</f>
        <v/>
      </c>
      <c r="L23" s="7" t="str">
        <f>IF(Source!Y23="","",Source!Y23)</f>
        <v/>
      </c>
      <c r="M23" s="7" t="str">
        <f>IF(Source!Z23="","",Source!Z23)</f>
        <v/>
      </c>
      <c r="N23" s="7" t="str">
        <f>IF(Source!AA23="","",Source!AA23)</f>
        <v/>
      </c>
      <c r="O23" s="7" t="str">
        <f>IF(Source!AB23="","",Source!AB23)</f>
        <v/>
      </c>
      <c r="P23" s="7" t="str">
        <f>IF(Source!AC23="","",Source!AC23)</f>
        <v/>
      </c>
      <c r="Q23" s="7" t="str">
        <f>IF(Source!AD23="","",TEXT(Source!AD23,"000000000"))</f>
        <v/>
      </c>
      <c r="R23" s="7" t="str">
        <f>IF(Source!AE23="","","physical AIS type "&amp;Source!AE23)</f>
        <v/>
      </c>
      <c r="S23" s="7" t="str">
        <f>IF(Source!AF23="","",IF(LEN(Source!AF23)=1,UPPER(Source!AF23),"yes"))</f>
        <v/>
      </c>
      <c r="T23" s="7" t="str">
        <f>IF(Source!AG23="","",Source!AG23)</f>
        <v/>
      </c>
      <c r="U23" s="7" t="str">
        <f>IF(Source!AH23="","",YEAR(Source!AH23)&amp;"-"&amp;TEXT(MONTH(Source!AH23),"00")&amp;"-"&amp;TEXT(DAY(Source!AH23),"00"))</f>
        <v/>
      </c>
      <c r="V23" s="7" t="str">
        <f>IF(Source!AI23="","",IF(OR(UPPER(Source!AI23)="YES",UPPER(Source!AI23)="Y"),"visually conspicuous",IF(OR(UPPER(Source!AI23)="NO",UPPER(Source!AI23)="N"),"not visually conspicuous",Source!AI23)))</f>
        <v/>
      </c>
      <c r="W23" s="7" t="str">
        <f>IF(Source!AJ23="","",Source!AJ23)</f>
        <v/>
      </c>
    </row>
    <row r="24">
      <c r="A24" s="7" t="str">
        <f>IF(Source!A24="","",Source!A24&amp;"")</f>
        <v/>
      </c>
      <c r="B24" s="7" t="str">
        <f>TRIM(Source!C24&amp;" "&amp;Source!B24&amp;" "&amp;Source!D24)</f>
        <v/>
      </c>
      <c r="C24" s="7" t="str">
        <f>IF(Source!E24="","",Source!E24)</f>
        <v/>
      </c>
      <c r="D24" s="7" t="str">
        <f>IF(Source!F24="","",ROUND(IF(UPPER(Source!I24)="S",-1,1)*(N(Source!F24)+N(Source!G24)/60+N(Source!H24)/3600),7))</f>
        <v/>
      </c>
      <c r="E24" s="7" t="str">
        <f>IF(Source!J24="","",ROUND(IF(UPPER(Source!M24)="W",-1,1)*(N(Source!J24)+N(Source!K24)/60+N(Source!L24)/3600),7))</f>
        <v/>
      </c>
      <c r="F24" s="7" t="str">
        <f>SUBSTITUTE(TRIM(Source!N24&amp;" "&amp;Source!O24&amp;" "&amp;Source!P24)," ","/")</f>
        <v/>
      </c>
      <c r="G24" s="7" t="str">
        <f>IF(Source!Q24="","",Source!Q24)</f>
        <v/>
      </c>
      <c r="H24" s="7" t="str">
        <f>IF(Source!R24="","",Source!R24)</f>
        <v/>
      </c>
      <c r="I24" s="7" t="str">
        <f>IF(Source!S24&lt;&gt;"",Source!S24,IF(Source!C24&lt;&gt;"",Source!C24,""))</f>
        <v/>
      </c>
      <c r="J24" s="7" t="str">
        <f>TRIM(Source!T24&amp;" "&amp;Source!U24&amp;" "&amp;IF(Source!V24="","",Source!V24&amp;"s")&amp;" "&amp;IF(Source!W24="","",Source!W24&amp;"M"))</f>
        <v/>
      </c>
      <c r="K24" s="7" t="str">
        <f>IF(Source!X24="","",Source!X24)</f>
        <v/>
      </c>
      <c r="L24" s="7" t="str">
        <f>IF(Source!Y24="","",Source!Y24)</f>
        <v/>
      </c>
      <c r="M24" s="7" t="str">
        <f>IF(Source!Z24="","",Source!Z24)</f>
        <v/>
      </c>
      <c r="N24" s="7" t="str">
        <f>IF(Source!AA24="","",Source!AA24)</f>
        <v/>
      </c>
      <c r="O24" s="7" t="str">
        <f>IF(Source!AB24="","",Source!AB24)</f>
        <v/>
      </c>
      <c r="P24" s="7" t="str">
        <f>IF(Source!AC24="","",Source!AC24)</f>
        <v/>
      </c>
      <c r="Q24" s="7" t="str">
        <f>IF(Source!AD24="","",TEXT(Source!AD24,"000000000"))</f>
        <v/>
      </c>
      <c r="R24" s="7" t="str">
        <f>IF(Source!AE24="","","physical AIS type "&amp;Source!AE24)</f>
        <v/>
      </c>
      <c r="S24" s="7" t="str">
        <f>IF(Source!AF24="","",IF(LEN(Source!AF24)=1,UPPER(Source!AF24),"yes"))</f>
        <v/>
      </c>
      <c r="T24" s="7" t="str">
        <f>IF(Source!AG24="","",Source!AG24)</f>
        <v/>
      </c>
      <c r="U24" s="7" t="str">
        <f>IF(Source!AH24="","",YEAR(Source!AH24)&amp;"-"&amp;TEXT(MONTH(Source!AH24),"00")&amp;"-"&amp;TEXT(DAY(Source!AH24),"00"))</f>
        <v/>
      </c>
      <c r="V24" s="7" t="str">
        <f>IF(Source!AI24="","",IF(OR(UPPER(Source!AI24)="YES",UPPER(Source!AI24)="Y"),"visually conspicuous",IF(OR(UPPER(Source!AI24)="NO",UPPER(Source!AI24)="N"),"not visually conspicuous",Source!AI24)))</f>
        <v/>
      </c>
      <c r="W24" s="7" t="str">
        <f>IF(Source!AJ24="","",Source!AJ24)</f>
        <v/>
      </c>
    </row>
    <row r="25">
      <c r="A25" s="7" t="str">
        <f>IF(Source!A25="","",Source!A25&amp;"")</f>
        <v/>
      </c>
      <c r="B25" s="7" t="str">
        <f>TRIM(Source!C25&amp;" "&amp;Source!B25&amp;" "&amp;Source!D25)</f>
        <v/>
      </c>
      <c r="C25" s="7" t="str">
        <f>IF(Source!E25="","",Source!E25)</f>
        <v/>
      </c>
      <c r="D25" s="7" t="str">
        <f>IF(Source!F25="","",ROUND(IF(UPPER(Source!I25)="S",-1,1)*(N(Source!F25)+N(Source!G25)/60+N(Source!H25)/3600),7))</f>
        <v/>
      </c>
      <c r="E25" s="7" t="str">
        <f>IF(Source!J25="","",ROUND(IF(UPPER(Source!M25)="W",-1,1)*(N(Source!J25)+N(Source!K25)/60+N(Source!L25)/3600),7))</f>
        <v/>
      </c>
      <c r="F25" s="7" t="str">
        <f>SUBSTITUTE(TRIM(Source!N25&amp;" "&amp;Source!O25&amp;" "&amp;Source!P25)," ","/")</f>
        <v/>
      </c>
      <c r="G25" s="7" t="str">
        <f>IF(Source!Q25="","",Source!Q25)</f>
        <v/>
      </c>
      <c r="H25" s="7" t="str">
        <f>IF(Source!R25="","",Source!R25)</f>
        <v/>
      </c>
      <c r="I25" s="7" t="str">
        <f>IF(Source!S25&lt;&gt;"",Source!S25,IF(Source!C25&lt;&gt;"",Source!C25,""))</f>
        <v/>
      </c>
      <c r="J25" s="7" t="str">
        <f>TRIM(Source!T25&amp;" "&amp;Source!U25&amp;" "&amp;IF(Source!V25="","",Source!V25&amp;"s")&amp;" "&amp;IF(Source!W25="","",Source!W25&amp;"M"))</f>
        <v/>
      </c>
      <c r="K25" s="7" t="str">
        <f>IF(Source!X25="","",Source!X25)</f>
        <v/>
      </c>
      <c r="L25" s="7" t="str">
        <f>IF(Source!Y25="","",Source!Y25)</f>
        <v/>
      </c>
      <c r="M25" s="7" t="str">
        <f>IF(Source!Z25="","",Source!Z25)</f>
        <v/>
      </c>
      <c r="N25" s="7" t="str">
        <f>IF(Source!AA25="","",Source!AA25)</f>
        <v/>
      </c>
      <c r="O25" s="7" t="str">
        <f>IF(Source!AB25="","",Source!AB25)</f>
        <v/>
      </c>
      <c r="P25" s="7" t="str">
        <f>IF(Source!AC25="","",Source!AC25)</f>
        <v/>
      </c>
      <c r="Q25" s="7" t="str">
        <f>IF(Source!AD25="","",TEXT(Source!AD25,"000000000"))</f>
        <v/>
      </c>
      <c r="R25" s="7" t="str">
        <f>IF(Source!AE25="","","physical AIS type "&amp;Source!AE25)</f>
        <v/>
      </c>
      <c r="S25" s="7" t="str">
        <f>IF(Source!AF25="","",IF(LEN(Source!AF25)=1,UPPER(Source!AF25),"yes"))</f>
        <v/>
      </c>
      <c r="T25" s="7" t="str">
        <f>IF(Source!AG25="","",Source!AG25)</f>
        <v/>
      </c>
      <c r="U25" s="7" t="str">
        <f>IF(Source!AH25="","",YEAR(Source!AH25)&amp;"-"&amp;TEXT(MONTH(Source!AH25),"00")&amp;"-"&amp;TEXT(DAY(Source!AH25),"00"))</f>
        <v/>
      </c>
      <c r="V25" s="7" t="str">
        <f>IF(Source!AI25="","",IF(OR(UPPER(Source!AI25)="YES",UPPER(Source!AI25)="Y"),"visually conspicuous",IF(OR(UPPER(Source!AI25)="NO",UPPER(Source!AI25)="N"),"not visually conspicuous",Source!AI25)))</f>
        <v/>
      </c>
      <c r="W25" s="7" t="str">
        <f>IF(Source!AJ25="","",Source!AJ25)</f>
        <v/>
      </c>
    </row>
    <row r="26">
      <c r="A26" s="7" t="str">
        <f>IF(Source!A26="","",Source!A26&amp;"")</f>
        <v/>
      </c>
      <c r="B26" s="7" t="str">
        <f>TRIM(Source!C26&amp;" "&amp;Source!B26&amp;" "&amp;Source!D26)</f>
        <v/>
      </c>
      <c r="C26" s="7" t="str">
        <f>IF(Source!E26="","",Source!E26)</f>
        <v/>
      </c>
      <c r="D26" s="7" t="str">
        <f>IF(Source!F26="","",ROUND(IF(UPPER(Source!I26)="S",-1,1)*(N(Source!F26)+N(Source!G26)/60+N(Source!H26)/3600),7))</f>
        <v/>
      </c>
      <c r="E26" s="7" t="str">
        <f>IF(Source!J26="","",ROUND(IF(UPPER(Source!M26)="W",-1,1)*(N(Source!J26)+N(Source!K26)/60+N(Source!L26)/3600),7))</f>
        <v/>
      </c>
      <c r="F26" s="7" t="str">
        <f>SUBSTITUTE(TRIM(Source!N26&amp;" "&amp;Source!O26&amp;" "&amp;Source!P26)," ","/")</f>
        <v/>
      </c>
      <c r="G26" s="7" t="str">
        <f>IF(Source!Q26="","",Source!Q26)</f>
        <v/>
      </c>
      <c r="H26" s="7" t="str">
        <f>IF(Source!R26="","",Source!R26)</f>
        <v/>
      </c>
      <c r="I26" s="7" t="str">
        <f>IF(Source!S26&lt;&gt;"",Source!S26,IF(Source!C26&lt;&gt;"",Source!C26,""))</f>
        <v/>
      </c>
      <c r="J26" s="7" t="str">
        <f>TRIM(Source!T26&amp;" "&amp;Source!U26&amp;" "&amp;IF(Source!V26="","",Source!V26&amp;"s")&amp;" "&amp;IF(Source!W26="","",Source!W26&amp;"M"))</f>
        <v/>
      </c>
      <c r="K26" s="7" t="str">
        <f>IF(Source!X26="","",Source!X26)</f>
        <v/>
      </c>
      <c r="L26" s="7" t="str">
        <f>IF(Source!Y26="","",Source!Y26)</f>
        <v/>
      </c>
      <c r="M26" s="7" t="str">
        <f>IF(Source!Z26="","",Source!Z26)</f>
        <v/>
      </c>
      <c r="N26" s="7" t="str">
        <f>IF(Source!AA26="","",Source!AA26)</f>
        <v/>
      </c>
      <c r="O26" s="7" t="str">
        <f>IF(Source!AB26="","",Source!AB26)</f>
        <v/>
      </c>
      <c r="P26" s="7" t="str">
        <f>IF(Source!AC26="","",Source!AC26)</f>
        <v/>
      </c>
      <c r="Q26" s="7" t="str">
        <f>IF(Source!AD26="","",TEXT(Source!AD26,"000000000"))</f>
        <v/>
      </c>
      <c r="R26" s="7" t="str">
        <f>IF(Source!AE26="","","physical AIS type "&amp;Source!AE26)</f>
        <v/>
      </c>
      <c r="S26" s="7" t="str">
        <f>IF(Source!AF26="","",IF(LEN(Source!AF26)=1,UPPER(Source!AF26),"yes"))</f>
        <v/>
      </c>
      <c r="T26" s="7" t="str">
        <f>IF(Source!AG26="","",Source!AG26)</f>
        <v/>
      </c>
      <c r="U26" s="7" t="str">
        <f>IF(Source!AH26="","",YEAR(Source!AH26)&amp;"-"&amp;TEXT(MONTH(Source!AH26),"00")&amp;"-"&amp;TEXT(DAY(Source!AH26),"00"))</f>
        <v/>
      </c>
      <c r="V26" s="7" t="str">
        <f>IF(Source!AI26="","",IF(OR(UPPER(Source!AI26)="YES",UPPER(Source!AI26)="Y"),"visually conspicuous",IF(OR(UPPER(Source!AI26)="NO",UPPER(Source!AI26)="N"),"not visually conspicuous",Source!AI26)))</f>
        <v/>
      </c>
      <c r="W26" s="7" t="str">
        <f>IF(Source!AJ26="","",Source!AJ26)</f>
        <v/>
      </c>
    </row>
    <row r="27">
      <c r="A27" s="7" t="str">
        <f>IF(Source!A27="","",Source!A27&amp;"")</f>
        <v/>
      </c>
      <c r="B27" s="7" t="str">
        <f>TRIM(Source!C27&amp;" "&amp;Source!B27&amp;" "&amp;Source!D27)</f>
        <v/>
      </c>
      <c r="C27" s="7" t="str">
        <f>IF(Source!E27="","",Source!E27)</f>
        <v/>
      </c>
      <c r="D27" s="7" t="str">
        <f>IF(Source!F27="","",ROUND(IF(UPPER(Source!I27)="S",-1,1)*(N(Source!F27)+N(Source!G27)/60+N(Source!H27)/3600),7))</f>
        <v/>
      </c>
      <c r="E27" s="7" t="str">
        <f>IF(Source!J27="","",ROUND(IF(UPPER(Source!M27)="W",-1,1)*(N(Source!J27)+N(Source!K27)/60+N(Source!L27)/3600),7))</f>
        <v/>
      </c>
      <c r="F27" s="7" t="str">
        <f>SUBSTITUTE(TRIM(Source!N27&amp;" "&amp;Source!O27&amp;" "&amp;Source!P27)," ","/")</f>
        <v/>
      </c>
      <c r="G27" s="7" t="str">
        <f>IF(Source!Q27="","",Source!Q27)</f>
        <v/>
      </c>
      <c r="H27" s="7" t="str">
        <f>IF(Source!R27="","",Source!R27)</f>
        <v/>
      </c>
      <c r="I27" s="7" t="str">
        <f>IF(Source!S27&lt;&gt;"",Source!S27,IF(Source!C27&lt;&gt;"",Source!C27,""))</f>
        <v/>
      </c>
      <c r="J27" s="7" t="str">
        <f>TRIM(Source!T27&amp;" "&amp;Source!U27&amp;" "&amp;IF(Source!V27="","",Source!V27&amp;"s")&amp;" "&amp;IF(Source!W27="","",Source!W27&amp;"M"))</f>
        <v/>
      </c>
      <c r="K27" s="7" t="str">
        <f>IF(Source!X27="","",Source!X27)</f>
        <v/>
      </c>
      <c r="L27" s="7" t="str">
        <f>IF(Source!Y27="","",Source!Y27)</f>
        <v/>
      </c>
      <c r="M27" s="7" t="str">
        <f>IF(Source!Z27="","",Source!Z27)</f>
        <v/>
      </c>
      <c r="N27" s="7" t="str">
        <f>IF(Source!AA27="","",Source!AA27)</f>
        <v/>
      </c>
      <c r="O27" s="7" t="str">
        <f>IF(Source!AB27="","",Source!AB27)</f>
        <v/>
      </c>
      <c r="P27" s="7" t="str">
        <f>IF(Source!AC27="","",Source!AC27)</f>
        <v/>
      </c>
      <c r="Q27" s="7" t="str">
        <f>IF(Source!AD27="","",TEXT(Source!AD27,"000000000"))</f>
        <v/>
      </c>
      <c r="R27" s="7" t="str">
        <f>IF(Source!AE27="","","physical AIS type "&amp;Source!AE27)</f>
        <v/>
      </c>
      <c r="S27" s="7" t="str">
        <f>IF(Source!AF27="","",IF(LEN(Source!AF27)=1,UPPER(Source!AF27),"yes"))</f>
        <v/>
      </c>
      <c r="T27" s="7" t="str">
        <f>IF(Source!AG27="","",Source!AG27)</f>
        <v/>
      </c>
      <c r="U27" s="7" t="str">
        <f>IF(Source!AH27="","",YEAR(Source!AH27)&amp;"-"&amp;TEXT(MONTH(Source!AH27),"00")&amp;"-"&amp;TEXT(DAY(Source!AH27),"00"))</f>
        <v/>
      </c>
      <c r="V27" s="7" t="str">
        <f>IF(Source!AI27="","",IF(OR(UPPER(Source!AI27)="YES",UPPER(Source!AI27)="Y"),"visually conspicuous",IF(OR(UPPER(Source!AI27)="NO",UPPER(Source!AI27)="N"),"not visually conspicuous",Source!AI27)))</f>
        <v/>
      </c>
      <c r="W27" s="7" t="str">
        <f>IF(Source!AJ27="","",Source!AJ27)</f>
        <v/>
      </c>
    </row>
    <row r="28">
      <c r="A28" s="7" t="str">
        <f>IF(Source!A28="","",Source!A28&amp;"")</f>
        <v/>
      </c>
      <c r="B28" s="7" t="str">
        <f>TRIM(Source!C28&amp;" "&amp;Source!B28&amp;" "&amp;Source!D28)</f>
        <v/>
      </c>
      <c r="C28" s="7" t="str">
        <f>IF(Source!E28="","",Source!E28)</f>
        <v/>
      </c>
      <c r="D28" s="7" t="str">
        <f>IF(Source!F28="","",ROUND(IF(UPPER(Source!I28)="S",-1,1)*(N(Source!F28)+N(Source!G28)/60+N(Source!H28)/3600),7))</f>
        <v/>
      </c>
      <c r="E28" s="7" t="str">
        <f>IF(Source!J28="","",ROUND(IF(UPPER(Source!M28)="W",-1,1)*(N(Source!J28)+N(Source!K28)/60+N(Source!L28)/3600),7))</f>
        <v/>
      </c>
      <c r="F28" s="7" t="str">
        <f>SUBSTITUTE(TRIM(Source!N28&amp;" "&amp;Source!O28&amp;" "&amp;Source!P28)," ","/")</f>
        <v/>
      </c>
      <c r="G28" s="7" t="str">
        <f>IF(Source!Q28="","",Source!Q28)</f>
        <v/>
      </c>
      <c r="H28" s="7" t="str">
        <f>IF(Source!R28="","",Source!R28)</f>
        <v/>
      </c>
      <c r="I28" s="7" t="str">
        <f>IF(Source!S28&lt;&gt;"",Source!S28,IF(Source!C28&lt;&gt;"",Source!C28,""))</f>
        <v/>
      </c>
      <c r="J28" s="7" t="str">
        <f>TRIM(Source!T28&amp;" "&amp;Source!U28&amp;" "&amp;IF(Source!V28="","",Source!V28&amp;"s")&amp;" "&amp;IF(Source!W28="","",Source!W28&amp;"M"))</f>
        <v/>
      </c>
      <c r="K28" s="7" t="str">
        <f>IF(Source!X28="","",Source!X28)</f>
        <v/>
      </c>
      <c r="L28" s="7" t="str">
        <f>IF(Source!Y28="","",Source!Y28)</f>
        <v/>
      </c>
      <c r="M28" s="7" t="str">
        <f>IF(Source!Z28="","",Source!Z28)</f>
        <v/>
      </c>
      <c r="N28" s="7" t="str">
        <f>IF(Source!AA28="","",Source!AA28)</f>
        <v/>
      </c>
      <c r="O28" s="7" t="str">
        <f>IF(Source!AB28="","",Source!AB28)</f>
        <v/>
      </c>
      <c r="P28" s="7" t="str">
        <f>IF(Source!AC28="","",Source!AC28)</f>
        <v/>
      </c>
      <c r="Q28" s="7" t="str">
        <f>IF(Source!AD28="","",TEXT(Source!AD28,"000000000"))</f>
        <v/>
      </c>
      <c r="R28" s="7" t="str">
        <f>IF(Source!AE28="","","physical AIS type "&amp;Source!AE28)</f>
        <v/>
      </c>
      <c r="S28" s="7" t="str">
        <f>IF(Source!AF28="","",IF(LEN(Source!AF28)=1,UPPER(Source!AF28),"yes"))</f>
        <v/>
      </c>
      <c r="T28" s="7" t="str">
        <f>IF(Source!AG28="","",Source!AG28)</f>
        <v/>
      </c>
      <c r="U28" s="7" t="str">
        <f>IF(Source!AH28="","",YEAR(Source!AH28)&amp;"-"&amp;TEXT(MONTH(Source!AH28),"00")&amp;"-"&amp;TEXT(DAY(Source!AH28),"00"))</f>
        <v/>
      </c>
      <c r="V28" s="7" t="str">
        <f>IF(Source!AI28="","",IF(OR(UPPER(Source!AI28)="YES",UPPER(Source!AI28)="Y"),"visually conspicuous",IF(OR(UPPER(Source!AI28)="NO",UPPER(Source!AI28)="N"),"not visually conspicuous",Source!AI28)))</f>
        <v/>
      </c>
      <c r="W28" s="7" t="str">
        <f>IF(Source!AJ28="","",Source!AJ28)</f>
        <v/>
      </c>
    </row>
    <row r="29">
      <c r="A29" s="7" t="str">
        <f>IF(Source!A29="","",Source!A29&amp;"")</f>
        <v/>
      </c>
      <c r="B29" s="7" t="str">
        <f>TRIM(Source!C29&amp;" "&amp;Source!B29&amp;" "&amp;Source!D29)</f>
        <v/>
      </c>
      <c r="C29" s="7" t="str">
        <f>IF(Source!E29="","",Source!E29)</f>
        <v/>
      </c>
      <c r="D29" s="7" t="str">
        <f>IF(Source!F29="","",ROUND(IF(UPPER(Source!I29)="S",-1,1)*(N(Source!F29)+N(Source!G29)/60+N(Source!H29)/3600),7))</f>
        <v/>
      </c>
      <c r="E29" s="7" t="str">
        <f>IF(Source!J29="","",ROUND(IF(UPPER(Source!M29)="W",-1,1)*(N(Source!J29)+N(Source!K29)/60+N(Source!L29)/3600),7))</f>
        <v/>
      </c>
      <c r="F29" s="7" t="str">
        <f>SUBSTITUTE(TRIM(Source!N29&amp;" "&amp;Source!O29&amp;" "&amp;Source!P29)," ","/")</f>
        <v/>
      </c>
      <c r="G29" s="7" t="str">
        <f>IF(Source!Q29="","",Source!Q29)</f>
        <v/>
      </c>
      <c r="H29" s="7" t="str">
        <f>IF(Source!R29="","",Source!R29)</f>
        <v/>
      </c>
      <c r="I29" s="7" t="str">
        <f>IF(Source!S29&lt;&gt;"",Source!S29,IF(Source!C29&lt;&gt;"",Source!C29,""))</f>
        <v/>
      </c>
      <c r="J29" s="7" t="str">
        <f>TRIM(Source!T29&amp;" "&amp;Source!U29&amp;" "&amp;IF(Source!V29="","",Source!V29&amp;"s")&amp;" "&amp;IF(Source!W29="","",Source!W29&amp;"M"))</f>
        <v/>
      </c>
      <c r="K29" s="7" t="str">
        <f>IF(Source!X29="","",Source!X29)</f>
        <v/>
      </c>
      <c r="L29" s="7" t="str">
        <f>IF(Source!Y29="","",Source!Y29)</f>
        <v/>
      </c>
      <c r="M29" s="7" t="str">
        <f>IF(Source!Z29="","",Source!Z29)</f>
        <v/>
      </c>
      <c r="N29" s="7" t="str">
        <f>IF(Source!AA29="","",Source!AA29)</f>
        <v/>
      </c>
      <c r="O29" s="7" t="str">
        <f>IF(Source!AB29="","",Source!AB29)</f>
        <v/>
      </c>
      <c r="P29" s="7" t="str">
        <f>IF(Source!AC29="","",Source!AC29)</f>
        <v/>
      </c>
      <c r="Q29" s="7" t="str">
        <f>IF(Source!AD29="","",TEXT(Source!AD29,"000000000"))</f>
        <v/>
      </c>
      <c r="R29" s="7" t="str">
        <f>IF(Source!AE29="","","physical AIS type "&amp;Source!AE29)</f>
        <v/>
      </c>
      <c r="S29" s="7" t="str">
        <f>IF(Source!AF29="","",IF(LEN(Source!AF29)=1,UPPER(Source!AF29),"yes"))</f>
        <v/>
      </c>
      <c r="T29" s="7" t="str">
        <f>IF(Source!AG29="","",Source!AG29)</f>
        <v/>
      </c>
      <c r="U29" s="7" t="str">
        <f>IF(Source!AH29="","",YEAR(Source!AH29)&amp;"-"&amp;TEXT(MONTH(Source!AH29),"00")&amp;"-"&amp;TEXT(DAY(Source!AH29),"00"))</f>
        <v/>
      </c>
      <c r="V29" s="7" t="str">
        <f>IF(Source!AI29="","",IF(OR(UPPER(Source!AI29)="YES",UPPER(Source!AI29)="Y"),"visually conspicuous",IF(OR(UPPER(Source!AI29)="NO",UPPER(Source!AI29)="N"),"not visually conspicuous",Source!AI29)))</f>
        <v/>
      </c>
      <c r="W29" s="7" t="str">
        <f>IF(Source!AJ29="","",Source!AJ29)</f>
        <v/>
      </c>
    </row>
    <row r="30">
      <c r="A30" s="7" t="str">
        <f>IF(Source!A30="","",Source!A30&amp;"")</f>
        <v/>
      </c>
      <c r="B30" s="7" t="str">
        <f>TRIM(Source!C30&amp;" "&amp;Source!B30&amp;" "&amp;Source!D30)</f>
        <v/>
      </c>
      <c r="C30" s="7" t="str">
        <f>IF(Source!E30="","",Source!E30)</f>
        <v/>
      </c>
      <c r="D30" s="7" t="str">
        <f>IF(Source!F30="","",ROUND(IF(UPPER(Source!I30)="S",-1,1)*(N(Source!F30)+N(Source!G30)/60+N(Source!H30)/3600),7))</f>
        <v/>
      </c>
      <c r="E30" s="7" t="str">
        <f>IF(Source!J30="","",ROUND(IF(UPPER(Source!M30)="W",-1,1)*(N(Source!J30)+N(Source!K30)/60+N(Source!L30)/3600),7))</f>
        <v/>
      </c>
      <c r="F30" s="7" t="str">
        <f>SUBSTITUTE(TRIM(Source!N30&amp;" "&amp;Source!O30&amp;" "&amp;Source!P30)," ","/")</f>
        <v/>
      </c>
      <c r="G30" s="7" t="str">
        <f>IF(Source!Q30="","",Source!Q30)</f>
        <v/>
      </c>
      <c r="H30" s="7" t="str">
        <f>IF(Source!R30="","",Source!R30)</f>
        <v/>
      </c>
      <c r="I30" s="7" t="str">
        <f>IF(Source!S30&lt;&gt;"",Source!S30,IF(Source!C30&lt;&gt;"",Source!C30,""))</f>
        <v/>
      </c>
      <c r="J30" s="7" t="str">
        <f>TRIM(Source!T30&amp;" "&amp;Source!U30&amp;" "&amp;IF(Source!V30="","",Source!V30&amp;"s")&amp;" "&amp;IF(Source!W30="","",Source!W30&amp;"M"))</f>
        <v/>
      </c>
      <c r="K30" s="7" t="str">
        <f>IF(Source!X30="","",Source!X30)</f>
        <v/>
      </c>
      <c r="L30" s="7" t="str">
        <f>IF(Source!Y30="","",Source!Y30)</f>
        <v/>
      </c>
      <c r="M30" s="7" t="str">
        <f>IF(Source!Z30="","",Source!Z30)</f>
        <v/>
      </c>
      <c r="N30" s="7" t="str">
        <f>IF(Source!AA30="","",Source!AA30)</f>
        <v/>
      </c>
      <c r="O30" s="7" t="str">
        <f>IF(Source!AB30="","",Source!AB30)</f>
        <v/>
      </c>
      <c r="P30" s="7" t="str">
        <f>IF(Source!AC30="","",Source!AC30)</f>
        <v/>
      </c>
      <c r="Q30" s="7" t="str">
        <f>IF(Source!AD30="","",TEXT(Source!AD30,"000000000"))</f>
        <v/>
      </c>
      <c r="R30" s="7" t="str">
        <f>IF(Source!AE30="","","physical AIS type "&amp;Source!AE30)</f>
        <v/>
      </c>
      <c r="S30" s="7" t="str">
        <f>IF(Source!AF30="","",IF(LEN(Source!AF30)=1,UPPER(Source!AF30),"yes"))</f>
        <v/>
      </c>
      <c r="T30" s="7" t="str">
        <f>IF(Source!AG30="","",Source!AG30)</f>
        <v/>
      </c>
      <c r="U30" s="7" t="str">
        <f>IF(Source!AH30="","",YEAR(Source!AH30)&amp;"-"&amp;TEXT(MONTH(Source!AH30),"00")&amp;"-"&amp;TEXT(DAY(Source!AH30),"00"))</f>
        <v/>
      </c>
      <c r="V30" s="7" t="str">
        <f>IF(Source!AI30="","",IF(OR(UPPER(Source!AI30)="YES",UPPER(Source!AI30)="Y"),"visually conspicuous",IF(OR(UPPER(Source!AI30)="NO",UPPER(Source!AI30)="N"),"not visually conspicuous",Source!AI30)))</f>
        <v/>
      </c>
      <c r="W30" s="7" t="str">
        <f>IF(Source!AJ30="","",Source!AJ30)</f>
        <v/>
      </c>
    </row>
    <row r="31">
      <c r="A31" s="7" t="str">
        <f>IF(Source!A31="","",Source!A31&amp;"")</f>
        <v/>
      </c>
      <c r="B31" s="7" t="str">
        <f>TRIM(Source!C31&amp;" "&amp;Source!B31&amp;" "&amp;Source!D31)</f>
        <v/>
      </c>
      <c r="C31" s="7" t="str">
        <f>IF(Source!E31="","",Source!E31)</f>
        <v/>
      </c>
      <c r="D31" s="7" t="str">
        <f>IF(Source!F31="","",ROUND(IF(UPPER(Source!I31)="S",-1,1)*(N(Source!F31)+N(Source!G31)/60+N(Source!H31)/3600),7))</f>
        <v/>
      </c>
      <c r="E31" s="7" t="str">
        <f>IF(Source!J31="","",ROUND(IF(UPPER(Source!M31)="W",-1,1)*(N(Source!J31)+N(Source!K31)/60+N(Source!L31)/3600),7))</f>
        <v/>
      </c>
      <c r="F31" s="7" t="str">
        <f>SUBSTITUTE(TRIM(Source!N31&amp;" "&amp;Source!O31&amp;" "&amp;Source!P31)," ","/")</f>
        <v/>
      </c>
      <c r="G31" s="7" t="str">
        <f>IF(Source!Q31="","",Source!Q31)</f>
        <v/>
      </c>
      <c r="H31" s="7" t="str">
        <f>IF(Source!R31="","",Source!R31)</f>
        <v/>
      </c>
      <c r="I31" s="7" t="str">
        <f>IF(Source!S31&lt;&gt;"",Source!S31,IF(Source!C31&lt;&gt;"",Source!C31,""))</f>
        <v/>
      </c>
      <c r="J31" s="7" t="str">
        <f>TRIM(Source!T31&amp;" "&amp;Source!U31&amp;" "&amp;IF(Source!V31="","",Source!V31&amp;"s")&amp;" "&amp;IF(Source!W31="","",Source!W31&amp;"M"))</f>
        <v/>
      </c>
      <c r="K31" s="7" t="str">
        <f>IF(Source!X31="","",Source!X31)</f>
        <v/>
      </c>
      <c r="L31" s="7" t="str">
        <f>IF(Source!Y31="","",Source!Y31)</f>
        <v/>
      </c>
      <c r="M31" s="7" t="str">
        <f>IF(Source!Z31="","",Source!Z31)</f>
        <v/>
      </c>
      <c r="N31" s="7" t="str">
        <f>IF(Source!AA31="","",Source!AA31)</f>
        <v/>
      </c>
      <c r="O31" s="7" t="str">
        <f>IF(Source!AB31="","",Source!AB31)</f>
        <v/>
      </c>
      <c r="P31" s="7" t="str">
        <f>IF(Source!AC31="","",Source!AC31)</f>
        <v/>
      </c>
      <c r="Q31" s="7" t="str">
        <f>IF(Source!AD31="","",TEXT(Source!AD31,"000000000"))</f>
        <v/>
      </c>
      <c r="R31" s="7" t="str">
        <f>IF(Source!AE31="","","physical AIS type "&amp;Source!AE31)</f>
        <v/>
      </c>
      <c r="S31" s="7" t="str">
        <f>IF(Source!AF31="","",IF(LEN(Source!AF31)=1,UPPER(Source!AF31),"yes"))</f>
        <v/>
      </c>
      <c r="T31" s="7" t="str">
        <f>IF(Source!AG31="","",Source!AG31)</f>
        <v/>
      </c>
      <c r="U31" s="7" t="str">
        <f>IF(Source!AH31="","",YEAR(Source!AH31)&amp;"-"&amp;TEXT(MONTH(Source!AH31),"00")&amp;"-"&amp;TEXT(DAY(Source!AH31),"00"))</f>
        <v/>
      </c>
      <c r="V31" s="7" t="str">
        <f>IF(Source!AI31="","",IF(OR(UPPER(Source!AI31)="YES",UPPER(Source!AI31)="Y"),"visually conspicuous",IF(OR(UPPER(Source!AI31)="NO",UPPER(Source!AI31)="N"),"not visually conspicuous",Source!AI31)))</f>
        <v/>
      </c>
      <c r="W31" s="7" t="str">
        <f>IF(Source!AJ31="","",Source!AJ31)</f>
        <v/>
      </c>
    </row>
    <row r="32">
      <c r="A32" s="7" t="str">
        <f>IF(Source!A32="","",Source!A32&amp;"")</f>
        <v/>
      </c>
      <c r="B32" s="7" t="str">
        <f>TRIM(Source!C32&amp;" "&amp;Source!B32&amp;" "&amp;Source!D32)</f>
        <v/>
      </c>
      <c r="C32" s="7" t="str">
        <f>IF(Source!E32="","",Source!E32)</f>
        <v/>
      </c>
      <c r="D32" s="7" t="str">
        <f>IF(Source!F32="","",ROUND(IF(UPPER(Source!I32)="S",-1,1)*(N(Source!F32)+N(Source!G32)/60+N(Source!H32)/3600),7))</f>
        <v/>
      </c>
      <c r="E32" s="7" t="str">
        <f>IF(Source!J32="","",ROUND(IF(UPPER(Source!M32)="W",-1,1)*(N(Source!J32)+N(Source!K32)/60+N(Source!L32)/3600),7))</f>
        <v/>
      </c>
      <c r="F32" s="7" t="str">
        <f>SUBSTITUTE(TRIM(Source!N32&amp;" "&amp;Source!O32&amp;" "&amp;Source!P32)," ","/")</f>
        <v/>
      </c>
      <c r="G32" s="7" t="str">
        <f>IF(Source!Q32="","",Source!Q32)</f>
        <v/>
      </c>
      <c r="H32" s="7" t="str">
        <f>IF(Source!R32="","",Source!R32)</f>
        <v/>
      </c>
      <c r="I32" s="7" t="str">
        <f>IF(Source!S32&lt;&gt;"",Source!S32,IF(Source!C32&lt;&gt;"",Source!C32,""))</f>
        <v/>
      </c>
      <c r="J32" s="7" t="str">
        <f>TRIM(Source!T32&amp;" "&amp;Source!U32&amp;" "&amp;IF(Source!V32="","",Source!V32&amp;"s")&amp;" "&amp;IF(Source!W32="","",Source!W32&amp;"M"))</f>
        <v/>
      </c>
      <c r="K32" s="7" t="str">
        <f>IF(Source!X32="","",Source!X32)</f>
        <v/>
      </c>
      <c r="L32" s="7" t="str">
        <f>IF(Source!Y32="","",Source!Y32)</f>
        <v/>
      </c>
      <c r="M32" s="7" t="str">
        <f>IF(Source!Z32="","",Source!Z32)</f>
        <v/>
      </c>
      <c r="N32" s="7" t="str">
        <f>IF(Source!AA32="","",Source!AA32)</f>
        <v/>
      </c>
      <c r="O32" s="7" t="str">
        <f>IF(Source!AB32="","",Source!AB32)</f>
        <v/>
      </c>
      <c r="P32" s="7" t="str">
        <f>IF(Source!AC32="","",Source!AC32)</f>
        <v/>
      </c>
      <c r="Q32" s="7" t="str">
        <f>IF(Source!AD32="","",TEXT(Source!AD32,"000000000"))</f>
        <v/>
      </c>
      <c r="R32" s="7" t="str">
        <f>IF(Source!AE32="","","physical AIS type "&amp;Source!AE32)</f>
        <v/>
      </c>
      <c r="S32" s="7" t="str">
        <f>IF(Source!AF32="","",IF(LEN(Source!AF32)=1,UPPER(Source!AF32),"yes"))</f>
        <v/>
      </c>
      <c r="T32" s="7" t="str">
        <f>IF(Source!AG32="","",Source!AG32)</f>
        <v/>
      </c>
      <c r="U32" s="7" t="str">
        <f>IF(Source!AH32="","",YEAR(Source!AH32)&amp;"-"&amp;TEXT(MONTH(Source!AH32),"00")&amp;"-"&amp;TEXT(DAY(Source!AH32),"00"))</f>
        <v/>
      </c>
      <c r="V32" s="7" t="str">
        <f>IF(Source!AI32="","",IF(OR(UPPER(Source!AI32)="YES",UPPER(Source!AI32)="Y"),"visually conspicuous",IF(OR(UPPER(Source!AI32)="NO",UPPER(Source!AI32)="N"),"not visually conspicuous",Source!AI32)))</f>
        <v/>
      </c>
      <c r="W32" s="7" t="str">
        <f>IF(Source!AJ32="","",Source!AJ32)</f>
        <v/>
      </c>
    </row>
    <row r="33">
      <c r="A33" s="7" t="str">
        <f>IF(Source!A33="","",Source!A33&amp;"")</f>
        <v/>
      </c>
      <c r="B33" s="7" t="str">
        <f>TRIM(Source!C33&amp;" "&amp;Source!B33&amp;" "&amp;Source!D33)</f>
        <v/>
      </c>
      <c r="C33" s="7" t="str">
        <f>IF(Source!E33="","",Source!E33)</f>
        <v/>
      </c>
      <c r="D33" s="7" t="str">
        <f>IF(Source!F33="","",ROUND(IF(UPPER(Source!I33)="S",-1,1)*(N(Source!F33)+N(Source!G33)/60+N(Source!H33)/3600),7))</f>
        <v/>
      </c>
      <c r="E33" s="7" t="str">
        <f>IF(Source!J33="","",ROUND(IF(UPPER(Source!M33)="W",-1,1)*(N(Source!J33)+N(Source!K33)/60+N(Source!L33)/3600),7))</f>
        <v/>
      </c>
      <c r="F33" s="7" t="str">
        <f>SUBSTITUTE(TRIM(Source!N33&amp;" "&amp;Source!O33&amp;" "&amp;Source!P33)," ","/")</f>
        <v/>
      </c>
      <c r="G33" s="7" t="str">
        <f>IF(Source!Q33="","",Source!Q33)</f>
        <v/>
      </c>
      <c r="H33" s="7" t="str">
        <f>IF(Source!R33="","",Source!R33)</f>
        <v/>
      </c>
      <c r="I33" s="7" t="str">
        <f>IF(Source!S33&lt;&gt;"",Source!S33,IF(Source!C33&lt;&gt;"",Source!C33,""))</f>
        <v/>
      </c>
      <c r="J33" s="7" t="str">
        <f>TRIM(Source!T33&amp;" "&amp;Source!U33&amp;" "&amp;IF(Source!V33="","",Source!V33&amp;"s")&amp;" "&amp;IF(Source!W33="","",Source!W33&amp;"M"))</f>
        <v/>
      </c>
      <c r="K33" s="7" t="str">
        <f>IF(Source!X33="","",Source!X33)</f>
        <v/>
      </c>
      <c r="L33" s="7" t="str">
        <f>IF(Source!Y33="","",Source!Y33)</f>
        <v/>
      </c>
      <c r="M33" s="7" t="str">
        <f>IF(Source!Z33="","",Source!Z33)</f>
        <v/>
      </c>
      <c r="N33" s="7" t="str">
        <f>IF(Source!AA33="","",Source!AA33)</f>
        <v/>
      </c>
      <c r="O33" s="7" t="str">
        <f>IF(Source!AB33="","",Source!AB33)</f>
        <v/>
      </c>
      <c r="P33" s="7" t="str">
        <f>IF(Source!AC33="","",Source!AC33)</f>
        <v/>
      </c>
      <c r="Q33" s="7" t="str">
        <f>IF(Source!AD33="","",TEXT(Source!AD33,"000000000"))</f>
        <v/>
      </c>
      <c r="R33" s="7" t="str">
        <f>IF(Source!AE33="","","physical AIS type "&amp;Source!AE33)</f>
        <v/>
      </c>
      <c r="S33" s="7" t="str">
        <f>IF(Source!AF33="","",IF(LEN(Source!AF33)=1,UPPER(Source!AF33),"yes"))</f>
        <v/>
      </c>
      <c r="T33" s="7" t="str">
        <f>IF(Source!AG33="","",Source!AG33)</f>
        <v/>
      </c>
      <c r="U33" s="7" t="str">
        <f>IF(Source!AH33="","",YEAR(Source!AH33)&amp;"-"&amp;TEXT(MONTH(Source!AH33),"00")&amp;"-"&amp;TEXT(DAY(Source!AH33),"00"))</f>
        <v/>
      </c>
      <c r="V33" s="7" t="str">
        <f>IF(Source!AI33="","",IF(OR(UPPER(Source!AI33)="YES",UPPER(Source!AI33)="Y"),"visually conspicuous",IF(OR(UPPER(Source!AI33)="NO",UPPER(Source!AI33)="N"),"not visually conspicuous",Source!AI33)))</f>
        <v/>
      </c>
      <c r="W33" s="7" t="str">
        <f>IF(Source!AJ33="","",Source!AJ33)</f>
        <v/>
      </c>
    </row>
    <row r="34">
      <c r="A34" s="7" t="str">
        <f>IF(Source!A34="","",Source!A34&amp;"")</f>
        <v/>
      </c>
      <c r="B34" s="7" t="str">
        <f>TRIM(Source!C34&amp;" "&amp;Source!B34&amp;" "&amp;Source!D34)</f>
        <v/>
      </c>
      <c r="C34" s="7" t="str">
        <f>IF(Source!E34="","",Source!E34)</f>
        <v/>
      </c>
      <c r="D34" s="7" t="str">
        <f>IF(Source!F34="","",ROUND(IF(UPPER(Source!I34)="S",-1,1)*(N(Source!F34)+N(Source!G34)/60+N(Source!H34)/3600),7))</f>
        <v/>
      </c>
      <c r="E34" s="7" t="str">
        <f>IF(Source!J34="","",ROUND(IF(UPPER(Source!M34)="W",-1,1)*(N(Source!J34)+N(Source!K34)/60+N(Source!L34)/3600),7))</f>
        <v/>
      </c>
      <c r="F34" s="7" t="str">
        <f>SUBSTITUTE(TRIM(Source!N34&amp;" "&amp;Source!O34&amp;" "&amp;Source!P34)," ","/")</f>
        <v/>
      </c>
      <c r="G34" s="7" t="str">
        <f>IF(Source!Q34="","",Source!Q34)</f>
        <v/>
      </c>
      <c r="H34" s="7" t="str">
        <f>IF(Source!R34="","",Source!R34)</f>
        <v/>
      </c>
      <c r="I34" s="7" t="str">
        <f>IF(Source!S34&lt;&gt;"",Source!S34,IF(Source!C34&lt;&gt;"",Source!C34,""))</f>
        <v/>
      </c>
      <c r="J34" s="7" t="str">
        <f>TRIM(Source!T34&amp;" "&amp;Source!U34&amp;" "&amp;IF(Source!V34="","",Source!V34&amp;"s")&amp;" "&amp;IF(Source!W34="","",Source!W34&amp;"M"))</f>
        <v/>
      </c>
      <c r="K34" s="7" t="str">
        <f>IF(Source!X34="","",Source!X34)</f>
        <v/>
      </c>
      <c r="L34" s="7" t="str">
        <f>IF(Source!Y34="","",Source!Y34)</f>
        <v/>
      </c>
      <c r="M34" s="7" t="str">
        <f>IF(Source!Z34="","",Source!Z34)</f>
        <v/>
      </c>
      <c r="N34" s="7" t="str">
        <f>IF(Source!AA34="","",Source!AA34)</f>
        <v/>
      </c>
      <c r="O34" s="7" t="str">
        <f>IF(Source!AB34="","",Source!AB34)</f>
        <v/>
      </c>
      <c r="P34" s="7" t="str">
        <f>IF(Source!AC34="","",Source!AC34)</f>
        <v/>
      </c>
      <c r="Q34" s="7" t="str">
        <f>IF(Source!AD34="","",TEXT(Source!AD34,"000000000"))</f>
        <v/>
      </c>
      <c r="R34" s="7" t="str">
        <f>IF(Source!AE34="","","physical AIS type "&amp;Source!AE34)</f>
        <v/>
      </c>
      <c r="S34" s="7" t="str">
        <f>IF(Source!AF34="","",IF(LEN(Source!AF34)=1,UPPER(Source!AF34),"yes"))</f>
        <v/>
      </c>
      <c r="T34" s="7" t="str">
        <f>IF(Source!AG34="","",Source!AG34)</f>
        <v/>
      </c>
      <c r="U34" s="7" t="str">
        <f>IF(Source!AH34="","",YEAR(Source!AH34)&amp;"-"&amp;TEXT(MONTH(Source!AH34),"00")&amp;"-"&amp;TEXT(DAY(Source!AH34),"00"))</f>
        <v/>
      </c>
      <c r="V34" s="7" t="str">
        <f>IF(Source!AI34="","",IF(OR(UPPER(Source!AI34)="YES",UPPER(Source!AI34)="Y"),"visually conspicuous",IF(OR(UPPER(Source!AI34)="NO",UPPER(Source!AI34)="N"),"not visually conspicuous",Source!AI34)))</f>
        <v/>
      </c>
      <c r="W34" s="7" t="str">
        <f>IF(Source!AJ34="","",Source!AJ34)</f>
        <v/>
      </c>
    </row>
    <row r="35">
      <c r="A35" s="7" t="str">
        <f>IF(Source!A35="","",Source!A35&amp;"")</f>
        <v/>
      </c>
      <c r="B35" s="7" t="str">
        <f>TRIM(Source!C35&amp;" "&amp;Source!B35&amp;" "&amp;Source!D35)</f>
        <v/>
      </c>
      <c r="C35" s="7" t="str">
        <f>IF(Source!E35="","",Source!E35)</f>
        <v/>
      </c>
      <c r="D35" s="7" t="str">
        <f>IF(Source!F35="","",ROUND(IF(UPPER(Source!I35)="S",-1,1)*(N(Source!F35)+N(Source!G35)/60+N(Source!H35)/3600),7))</f>
        <v/>
      </c>
      <c r="E35" s="7" t="str">
        <f>IF(Source!J35="","",ROUND(IF(UPPER(Source!M35)="W",-1,1)*(N(Source!J35)+N(Source!K35)/60+N(Source!L35)/3600),7))</f>
        <v/>
      </c>
      <c r="F35" s="7" t="str">
        <f>SUBSTITUTE(TRIM(Source!N35&amp;" "&amp;Source!O35&amp;" "&amp;Source!P35)," ","/")</f>
        <v/>
      </c>
      <c r="G35" s="7" t="str">
        <f>IF(Source!Q35="","",Source!Q35)</f>
        <v/>
      </c>
      <c r="H35" s="7" t="str">
        <f>IF(Source!R35="","",Source!R35)</f>
        <v/>
      </c>
      <c r="I35" s="7" t="str">
        <f>IF(Source!S35&lt;&gt;"",Source!S35,IF(Source!C35&lt;&gt;"",Source!C35,""))</f>
        <v/>
      </c>
      <c r="J35" s="7" t="str">
        <f>TRIM(Source!T35&amp;" "&amp;Source!U35&amp;" "&amp;IF(Source!V35="","",Source!V35&amp;"s")&amp;" "&amp;IF(Source!W35="","",Source!W35&amp;"M"))</f>
        <v/>
      </c>
      <c r="K35" s="7" t="str">
        <f>IF(Source!X35="","",Source!X35)</f>
        <v/>
      </c>
      <c r="L35" s="7" t="str">
        <f>IF(Source!Y35="","",Source!Y35)</f>
        <v/>
      </c>
      <c r="M35" s="7" t="str">
        <f>IF(Source!Z35="","",Source!Z35)</f>
        <v/>
      </c>
      <c r="N35" s="7" t="str">
        <f>IF(Source!AA35="","",Source!AA35)</f>
        <v/>
      </c>
      <c r="O35" s="7" t="str">
        <f>IF(Source!AB35="","",Source!AB35)</f>
        <v/>
      </c>
      <c r="P35" s="7" t="str">
        <f>IF(Source!AC35="","",Source!AC35)</f>
        <v/>
      </c>
      <c r="Q35" s="7" t="str">
        <f>IF(Source!AD35="","",TEXT(Source!AD35,"000000000"))</f>
        <v/>
      </c>
      <c r="R35" s="7" t="str">
        <f>IF(Source!AE35="","","physical AIS type "&amp;Source!AE35)</f>
        <v/>
      </c>
      <c r="S35" s="7" t="str">
        <f>IF(Source!AF35="","",IF(LEN(Source!AF35)=1,UPPER(Source!AF35),"yes"))</f>
        <v/>
      </c>
      <c r="T35" s="7" t="str">
        <f>IF(Source!AG35="","",Source!AG35)</f>
        <v/>
      </c>
      <c r="U35" s="7" t="str">
        <f>IF(Source!AH35="","",YEAR(Source!AH35)&amp;"-"&amp;TEXT(MONTH(Source!AH35),"00")&amp;"-"&amp;TEXT(DAY(Source!AH35),"00"))</f>
        <v/>
      </c>
      <c r="V35" s="7" t="str">
        <f>IF(Source!AI35="","",IF(OR(UPPER(Source!AI35)="YES",UPPER(Source!AI35)="Y"),"visually conspicuous",IF(OR(UPPER(Source!AI35)="NO",UPPER(Source!AI35)="N"),"not visually conspicuous",Source!AI35)))</f>
        <v/>
      </c>
      <c r="W35" s="7" t="str">
        <f>IF(Source!AJ35="","",Source!AJ35)</f>
        <v/>
      </c>
    </row>
    <row r="36">
      <c r="A36" s="7" t="str">
        <f>IF(Source!A36="","",Source!A36&amp;"")</f>
        <v/>
      </c>
      <c r="B36" s="7" t="str">
        <f>TRIM(Source!C36&amp;" "&amp;Source!B36&amp;" "&amp;Source!D36)</f>
        <v/>
      </c>
      <c r="C36" s="7" t="str">
        <f>IF(Source!E36="","",Source!E36)</f>
        <v/>
      </c>
      <c r="D36" s="7" t="str">
        <f>IF(Source!F36="","",ROUND(IF(UPPER(Source!I36)="S",-1,1)*(N(Source!F36)+N(Source!G36)/60+N(Source!H36)/3600),7))</f>
        <v/>
      </c>
      <c r="E36" s="7" t="str">
        <f>IF(Source!J36="","",ROUND(IF(UPPER(Source!M36)="W",-1,1)*(N(Source!J36)+N(Source!K36)/60+N(Source!L36)/3600),7))</f>
        <v/>
      </c>
      <c r="F36" s="7" t="str">
        <f>SUBSTITUTE(TRIM(Source!N36&amp;" "&amp;Source!O36&amp;" "&amp;Source!P36)," ","/")</f>
        <v/>
      </c>
      <c r="G36" s="7" t="str">
        <f>IF(Source!Q36="","",Source!Q36)</f>
        <v/>
      </c>
      <c r="H36" s="7" t="str">
        <f>IF(Source!R36="","",Source!R36)</f>
        <v/>
      </c>
      <c r="I36" s="7" t="str">
        <f>IF(Source!S36&lt;&gt;"",Source!S36,IF(Source!C36&lt;&gt;"",Source!C36,""))</f>
        <v/>
      </c>
      <c r="J36" s="7" t="str">
        <f>TRIM(Source!T36&amp;" "&amp;Source!U36&amp;" "&amp;IF(Source!V36="","",Source!V36&amp;"s")&amp;" "&amp;IF(Source!W36="","",Source!W36&amp;"M"))</f>
        <v/>
      </c>
      <c r="K36" s="7" t="str">
        <f>IF(Source!X36="","",Source!X36)</f>
        <v/>
      </c>
      <c r="L36" s="7" t="str">
        <f>IF(Source!Y36="","",Source!Y36)</f>
        <v/>
      </c>
      <c r="M36" s="7" t="str">
        <f>IF(Source!Z36="","",Source!Z36)</f>
        <v/>
      </c>
      <c r="N36" s="7" t="str">
        <f>IF(Source!AA36="","",Source!AA36)</f>
        <v/>
      </c>
      <c r="O36" s="7" t="str">
        <f>IF(Source!AB36="","",Source!AB36)</f>
        <v/>
      </c>
      <c r="P36" s="7" t="str">
        <f>IF(Source!AC36="","",Source!AC36)</f>
        <v/>
      </c>
      <c r="Q36" s="7" t="str">
        <f>IF(Source!AD36="","",TEXT(Source!AD36,"000000000"))</f>
        <v/>
      </c>
      <c r="R36" s="7" t="str">
        <f>IF(Source!AE36="","","physical AIS type "&amp;Source!AE36)</f>
        <v/>
      </c>
      <c r="S36" s="7" t="str">
        <f>IF(Source!AF36="","",IF(LEN(Source!AF36)=1,UPPER(Source!AF36),"yes"))</f>
        <v/>
      </c>
      <c r="T36" s="7" t="str">
        <f>IF(Source!AG36="","",Source!AG36)</f>
        <v/>
      </c>
      <c r="U36" s="7" t="str">
        <f>IF(Source!AH36="","",YEAR(Source!AH36)&amp;"-"&amp;TEXT(MONTH(Source!AH36),"00")&amp;"-"&amp;TEXT(DAY(Source!AH36),"00"))</f>
        <v/>
      </c>
      <c r="V36" s="7" t="str">
        <f>IF(Source!AI36="","",IF(OR(UPPER(Source!AI36)="YES",UPPER(Source!AI36)="Y"),"visually conspicuous",IF(OR(UPPER(Source!AI36)="NO",UPPER(Source!AI36)="N"),"not visually conspicuous",Source!AI36)))</f>
        <v/>
      </c>
      <c r="W36" s="7" t="str">
        <f>IF(Source!AJ36="","",Source!AJ36)</f>
        <v/>
      </c>
    </row>
    <row r="37">
      <c r="A37" s="7" t="str">
        <f>IF(Source!A37="","",Source!A37&amp;"")</f>
        <v/>
      </c>
      <c r="B37" s="7" t="str">
        <f>TRIM(Source!C37&amp;" "&amp;Source!B37&amp;" "&amp;Source!D37)</f>
        <v/>
      </c>
      <c r="C37" s="7" t="str">
        <f>IF(Source!E37="","",Source!E37)</f>
        <v/>
      </c>
      <c r="D37" s="7" t="str">
        <f>IF(Source!F37="","",ROUND(IF(UPPER(Source!I37)="S",-1,1)*(N(Source!F37)+N(Source!G37)/60+N(Source!H37)/3600),7))</f>
        <v/>
      </c>
      <c r="E37" s="7" t="str">
        <f>IF(Source!J37="","",ROUND(IF(UPPER(Source!M37)="W",-1,1)*(N(Source!J37)+N(Source!K37)/60+N(Source!L37)/3600),7))</f>
        <v/>
      </c>
      <c r="F37" s="7" t="str">
        <f>SUBSTITUTE(TRIM(Source!N37&amp;" "&amp;Source!O37&amp;" "&amp;Source!P37)," ","/")</f>
        <v/>
      </c>
      <c r="G37" s="7" t="str">
        <f>IF(Source!Q37="","",Source!Q37)</f>
        <v/>
      </c>
      <c r="H37" s="7" t="str">
        <f>IF(Source!R37="","",Source!R37)</f>
        <v/>
      </c>
      <c r="I37" s="7" t="str">
        <f>IF(Source!S37&lt;&gt;"",Source!S37,IF(Source!C37&lt;&gt;"",Source!C37,""))</f>
        <v/>
      </c>
      <c r="J37" s="7" t="str">
        <f>TRIM(Source!T37&amp;" "&amp;Source!U37&amp;" "&amp;IF(Source!V37="","",Source!V37&amp;"s")&amp;" "&amp;IF(Source!W37="","",Source!W37&amp;"M"))</f>
        <v/>
      </c>
      <c r="K37" s="7" t="str">
        <f>IF(Source!X37="","",Source!X37)</f>
        <v/>
      </c>
      <c r="L37" s="7" t="str">
        <f>IF(Source!Y37="","",Source!Y37)</f>
        <v/>
      </c>
      <c r="M37" s="7" t="str">
        <f>IF(Source!Z37="","",Source!Z37)</f>
        <v/>
      </c>
      <c r="N37" s="7" t="str">
        <f>IF(Source!AA37="","",Source!AA37)</f>
        <v/>
      </c>
      <c r="O37" s="7" t="str">
        <f>IF(Source!AB37="","",Source!AB37)</f>
        <v/>
      </c>
      <c r="P37" s="7" t="str">
        <f>IF(Source!AC37="","",Source!AC37)</f>
        <v/>
      </c>
      <c r="Q37" s="7" t="str">
        <f>IF(Source!AD37="","",TEXT(Source!AD37,"000000000"))</f>
        <v/>
      </c>
      <c r="R37" s="7" t="str">
        <f>IF(Source!AE37="","","physical AIS type "&amp;Source!AE37)</f>
        <v/>
      </c>
      <c r="S37" s="7" t="str">
        <f>IF(Source!AF37="","",IF(LEN(Source!AF37)=1,UPPER(Source!AF37),"yes"))</f>
        <v/>
      </c>
      <c r="T37" s="7" t="str">
        <f>IF(Source!AG37="","",Source!AG37)</f>
        <v/>
      </c>
      <c r="U37" s="7" t="str">
        <f>IF(Source!AH37="","",YEAR(Source!AH37)&amp;"-"&amp;TEXT(MONTH(Source!AH37),"00")&amp;"-"&amp;TEXT(DAY(Source!AH37),"00"))</f>
        <v/>
      </c>
      <c r="V37" s="7" t="str">
        <f>IF(Source!AI37="","",IF(OR(UPPER(Source!AI37)="YES",UPPER(Source!AI37)="Y"),"visually conspicuous",IF(OR(UPPER(Source!AI37)="NO",UPPER(Source!AI37)="N"),"not visually conspicuous",Source!AI37)))</f>
        <v/>
      </c>
      <c r="W37" s="7" t="str">
        <f>IF(Source!AJ37="","",Source!AJ37)</f>
        <v/>
      </c>
    </row>
    <row r="38">
      <c r="A38" s="7" t="str">
        <f>IF(Source!A38="","",Source!A38&amp;"")</f>
        <v/>
      </c>
      <c r="B38" s="7" t="str">
        <f>TRIM(Source!C38&amp;" "&amp;Source!B38&amp;" "&amp;Source!D38)</f>
        <v/>
      </c>
      <c r="C38" s="7" t="str">
        <f>IF(Source!E38="","",Source!E38)</f>
        <v/>
      </c>
      <c r="D38" s="7" t="str">
        <f>IF(Source!F38="","",ROUND(IF(UPPER(Source!I38)="S",-1,1)*(N(Source!F38)+N(Source!G38)/60+N(Source!H38)/3600),7))</f>
        <v/>
      </c>
      <c r="E38" s="7" t="str">
        <f>IF(Source!J38="","",ROUND(IF(UPPER(Source!M38)="W",-1,1)*(N(Source!J38)+N(Source!K38)/60+N(Source!L38)/3600),7))</f>
        <v/>
      </c>
      <c r="F38" s="7" t="str">
        <f>SUBSTITUTE(TRIM(Source!N38&amp;" "&amp;Source!O38&amp;" "&amp;Source!P38)," ","/")</f>
        <v/>
      </c>
      <c r="G38" s="7" t="str">
        <f>IF(Source!Q38="","",Source!Q38)</f>
        <v/>
      </c>
      <c r="H38" s="7" t="str">
        <f>IF(Source!R38="","",Source!R38)</f>
        <v/>
      </c>
      <c r="I38" s="7" t="str">
        <f>IF(Source!S38&lt;&gt;"",Source!S38,IF(Source!C38&lt;&gt;"",Source!C38,""))</f>
        <v/>
      </c>
      <c r="J38" s="7" t="str">
        <f>TRIM(Source!T38&amp;" "&amp;Source!U38&amp;" "&amp;IF(Source!V38="","",Source!V38&amp;"s")&amp;" "&amp;IF(Source!W38="","",Source!W38&amp;"M"))</f>
        <v/>
      </c>
      <c r="K38" s="7" t="str">
        <f>IF(Source!X38="","",Source!X38)</f>
        <v/>
      </c>
      <c r="L38" s="7" t="str">
        <f>IF(Source!Y38="","",Source!Y38)</f>
        <v/>
      </c>
      <c r="M38" s="7" t="str">
        <f>IF(Source!Z38="","",Source!Z38)</f>
        <v/>
      </c>
      <c r="N38" s="7" t="str">
        <f>IF(Source!AA38="","",Source!AA38)</f>
        <v/>
      </c>
      <c r="O38" s="7" t="str">
        <f>IF(Source!AB38="","",Source!AB38)</f>
        <v/>
      </c>
      <c r="P38" s="7" t="str">
        <f>IF(Source!AC38="","",Source!AC38)</f>
        <v/>
      </c>
      <c r="Q38" s="7" t="str">
        <f>IF(Source!AD38="","",TEXT(Source!AD38,"000000000"))</f>
        <v/>
      </c>
      <c r="R38" s="7" t="str">
        <f>IF(Source!AE38="","","physical AIS type "&amp;Source!AE38)</f>
        <v/>
      </c>
      <c r="S38" s="7" t="str">
        <f>IF(Source!AF38="","",IF(LEN(Source!AF38)=1,UPPER(Source!AF38),"yes"))</f>
        <v/>
      </c>
      <c r="T38" s="7" t="str">
        <f>IF(Source!AG38="","",Source!AG38)</f>
        <v/>
      </c>
      <c r="U38" s="7" t="str">
        <f>IF(Source!AH38="","",YEAR(Source!AH38)&amp;"-"&amp;TEXT(MONTH(Source!AH38),"00")&amp;"-"&amp;TEXT(DAY(Source!AH38),"00"))</f>
        <v/>
      </c>
      <c r="V38" s="7" t="str">
        <f>IF(Source!AI38="","",IF(OR(UPPER(Source!AI38)="YES",UPPER(Source!AI38)="Y"),"visually conspicuous",IF(OR(UPPER(Source!AI38)="NO",UPPER(Source!AI38)="N"),"not visually conspicuous",Source!AI38)))</f>
        <v/>
      </c>
      <c r="W38" s="7" t="str">
        <f>IF(Source!AJ38="","",Source!AJ38)</f>
        <v/>
      </c>
    </row>
    <row r="39">
      <c r="A39" s="7" t="str">
        <f>IF(Source!A39="","",Source!A39&amp;"")</f>
        <v/>
      </c>
      <c r="B39" s="7" t="str">
        <f>TRIM(Source!C39&amp;" "&amp;Source!B39&amp;" "&amp;Source!D39)</f>
        <v/>
      </c>
      <c r="C39" s="7" t="str">
        <f>IF(Source!E39="","",Source!E39)</f>
        <v/>
      </c>
      <c r="D39" s="7" t="str">
        <f>IF(Source!F39="","",ROUND(IF(UPPER(Source!I39)="S",-1,1)*(N(Source!F39)+N(Source!G39)/60+N(Source!H39)/3600),7))</f>
        <v/>
      </c>
      <c r="E39" s="7" t="str">
        <f>IF(Source!J39="","",ROUND(IF(UPPER(Source!M39)="W",-1,1)*(N(Source!J39)+N(Source!K39)/60+N(Source!L39)/3600),7))</f>
        <v/>
      </c>
      <c r="F39" s="7" t="str">
        <f>SUBSTITUTE(TRIM(Source!N39&amp;" "&amp;Source!O39&amp;" "&amp;Source!P39)," ","/")</f>
        <v/>
      </c>
      <c r="G39" s="7" t="str">
        <f>IF(Source!Q39="","",Source!Q39)</f>
        <v/>
      </c>
      <c r="H39" s="7" t="str">
        <f>IF(Source!R39="","",Source!R39)</f>
        <v/>
      </c>
      <c r="I39" s="7" t="str">
        <f>IF(Source!S39&lt;&gt;"",Source!S39,IF(Source!C39&lt;&gt;"",Source!C39,""))</f>
        <v/>
      </c>
      <c r="J39" s="7" t="str">
        <f>TRIM(Source!T39&amp;" "&amp;Source!U39&amp;" "&amp;IF(Source!V39="","",Source!V39&amp;"s")&amp;" "&amp;IF(Source!W39="","",Source!W39&amp;"M"))</f>
        <v/>
      </c>
      <c r="K39" s="7" t="str">
        <f>IF(Source!X39="","",Source!X39)</f>
        <v/>
      </c>
      <c r="L39" s="7" t="str">
        <f>IF(Source!Y39="","",Source!Y39)</f>
        <v/>
      </c>
      <c r="M39" s="7" t="str">
        <f>IF(Source!Z39="","",Source!Z39)</f>
        <v/>
      </c>
      <c r="N39" s="7" t="str">
        <f>IF(Source!AA39="","",Source!AA39)</f>
        <v/>
      </c>
      <c r="O39" s="7" t="str">
        <f>IF(Source!AB39="","",Source!AB39)</f>
        <v/>
      </c>
      <c r="P39" s="7" t="str">
        <f>IF(Source!AC39="","",Source!AC39)</f>
        <v/>
      </c>
      <c r="Q39" s="7" t="str">
        <f>IF(Source!AD39="","",TEXT(Source!AD39,"000000000"))</f>
        <v/>
      </c>
      <c r="R39" s="7" t="str">
        <f>IF(Source!AE39="","","physical AIS type "&amp;Source!AE39)</f>
        <v/>
      </c>
      <c r="S39" s="7" t="str">
        <f>IF(Source!AF39="","",IF(LEN(Source!AF39)=1,UPPER(Source!AF39),"yes"))</f>
        <v/>
      </c>
      <c r="T39" s="7" t="str">
        <f>IF(Source!AG39="","",Source!AG39)</f>
        <v/>
      </c>
      <c r="U39" s="7" t="str">
        <f>IF(Source!AH39="","",YEAR(Source!AH39)&amp;"-"&amp;TEXT(MONTH(Source!AH39),"00")&amp;"-"&amp;TEXT(DAY(Source!AH39),"00"))</f>
        <v/>
      </c>
      <c r="V39" s="7" t="str">
        <f>IF(Source!AI39="","",IF(OR(UPPER(Source!AI39)="YES",UPPER(Source!AI39)="Y"),"visually conspicuous",IF(OR(UPPER(Source!AI39)="NO",UPPER(Source!AI39)="N"),"not visually conspicuous",Source!AI39)))</f>
        <v/>
      </c>
      <c r="W39" s="7" t="str">
        <f>IF(Source!AJ39="","",Source!AJ39)</f>
        <v/>
      </c>
    </row>
    <row r="40">
      <c r="A40" s="7" t="str">
        <f>IF(Source!A40="","",Source!A40&amp;"")</f>
        <v/>
      </c>
      <c r="B40" s="7" t="str">
        <f>TRIM(Source!C40&amp;" "&amp;Source!B40&amp;" "&amp;Source!D40)</f>
        <v/>
      </c>
      <c r="C40" s="7" t="str">
        <f>IF(Source!E40="","",Source!E40)</f>
        <v/>
      </c>
      <c r="D40" s="7" t="str">
        <f>IF(Source!F40="","",ROUND(IF(UPPER(Source!I40)="S",-1,1)*(N(Source!F40)+N(Source!G40)/60+N(Source!H40)/3600),7))</f>
        <v/>
      </c>
      <c r="E40" s="7" t="str">
        <f>IF(Source!J40="","",ROUND(IF(UPPER(Source!M40)="W",-1,1)*(N(Source!J40)+N(Source!K40)/60+N(Source!L40)/3600),7))</f>
        <v/>
      </c>
      <c r="F40" s="7" t="str">
        <f>SUBSTITUTE(TRIM(Source!N40&amp;" "&amp;Source!O40&amp;" "&amp;Source!P40)," ","/")</f>
        <v/>
      </c>
      <c r="G40" s="7" t="str">
        <f>IF(Source!Q40="","",Source!Q40)</f>
        <v/>
      </c>
      <c r="H40" s="7" t="str">
        <f>IF(Source!R40="","",Source!R40)</f>
        <v/>
      </c>
      <c r="I40" s="7" t="str">
        <f>IF(Source!S40&lt;&gt;"",Source!S40,IF(Source!C40&lt;&gt;"",Source!C40,""))</f>
        <v/>
      </c>
      <c r="J40" s="7" t="str">
        <f>TRIM(Source!T40&amp;" "&amp;Source!U40&amp;" "&amp;IF(Source!V40="","",Source!V40&amp;"s")&amp;" "&amp;IF(Source!W40="","",Source!W40&amp;"M"))</f>
        <v/>
      </c>
      <c r="K40" s="7" t="str">
        <f>IF(Source!X40="","",Source!X40)</f>
        <v/>
      </c>
      <c r="L40" s="7" t="str">
        <f>IF(Source!Y40="","",Source!Y40)</f>
        <v/>
      </c>
      <c r="M40" s="7" t="str">
        <f>IF(Source!Z40="","",Source!Z40)</f>
        <v/>
      </c>
      <c r="N40" s="7" t="str">
        <f>IF(Source!AA40="","",Source!AA40)</f>
        <v/>
      </c>
      <c r="O40" s="7" t="str">
        <f>IF(Source!AB40="","",Source!AB40)</f>
        <v/>
      </c>
      <c r="P40" s="7" t="str">
        <f>IF(Source!AC40="","",Source!AC40)</f>
        <v/>
      </c>
      <c r="Q40" s="7" t="str">
        <f>IF(Source!AD40="","",TEXT(Source!AD40,"000000000"))</f>
        <v/>
      </c>
      <c r="R40" s="7" t="str">
        <f>IF(Source!AE40="","","physical AIS type "&amp;Source!AE40)</f>
        <v/>
      </c>
      <c r="S40" s="7" t="str">
        <f>IF(Source!AF40="","",IF(LEN(Source!AF40)=1,UPPER(Source!AF40),"yes"))</f>
        <v/>
      </c>
      <c r="T40" s="7" t="str">
        <f>IF(Source!AG40="","",Source!AG40)</f>
        <v/>
      </c>
      <c r="U40" s="7" t="str">
        <f>IF(Source!AH40="","",YEAR(Source!AH40)&amp;"-"&amp;TEXT(MONTH(Source!AH40),"00")&amp;"-"&amp;TEXT(DAY(Source!AH40),"00"))</f>
        <v/>
      </c>
      <c r="V40" s="7" t="str">
        <f>IF(Source!AI40="","",IF(OR(UPPER(Source!AI40)="YES",UPPER(Source!AI40)="Y"),"visually conspicuous",IF(OR(UPPER(Source!AI40)="NO",UPPER(Source!AI40)="N"),"not visually conspicuous",Source!AI40)))</f>
        <v/>
      </c>
      <c r="W40" s="7" t="str">
        <f>IF(Source!AJ40="","",Source!AJ40)</f>
        <v/>
      </c>
    </row>
    <row r="41">
      <c r="A41" s="7" t="str">
        <f>IF(Source!A41="","",Source!A41&amp;"")</f>
        <v/>
      </c>
      <c r="B41" s="7" t="str">
        <f>TRIM(Source!C41&amp;" "&amp;Source!B41&amp;" "&amp;Source!D41)</f>
        <v/>
      </c>
      <c r="C41" s="7" t="str">
        <f>IF(Source!E41="","",Source!E41)</f>
        <v/>
      </c>
      <c r="D41" s="7" t="str">
        <f>IF(Source!F41="","",ROUND(IF(UPPER(Source!I41)="S",-1,1)*(N(Source!F41)+N(Source!G41)/60+N(Source!H41)/3600),7))</f>
        <v/>
      </c>
      <c r="E41" s="7" t="str">
        <f>IF(Source!J41="","",ROUND(IF(UPPER(Source!M41)="W",-1,1)*(N(Source!J41)+N(Source!K41)/60+N(Source!L41)/3600),7))</f>
        <v/>
      </c>
      <c r="F41" s="7" t="str">
        <f>SUBSTITUTE(TRIM(Source!N41&amp;" "&amp;Source!O41&amp;" "&amp;Source!P41)," ","/")</f>
        <v/>
      </c>
      <c r="G41" s="7" t="str">
        <f>IF(Source!Q41="","",Source!Q41)</f>
        <v/>
      </c>
      <c r="H41" s="7" t="str">
        <f>IF(Source!R41="","",Source!R41)</f>
        <v/>
      </c>
      <c r="I41" s="7" t="str">
        <f>IF(Source!S41&lt;&gt;"",Source!S41,IF(Source!C41&lt;&gt;"",Source!C41,""))</f>
        <v/>
      </c>
      <c r="J41" s="7" t="str">
        <f>TRIM(Source!T41&amp;" "&amp;Source!U41&amp;" "&amp;IF(Source!V41="","",Source!V41&amp;"s")&amp;" "&amp;IF(Source!W41="","",Source!W41&amp;"M"))</f>
        <v/>
      </c>
      <c r="K41" s="7" t="str">
        <f>IF(Source!X41="","",Source!X41)</f>
        <v/>
      </c>
      <c r="L41" s="7" t="str">
        <f>IF(Source!Y41="","",Source!Y41)</f>
        <v/>
      </c>
      <c r="M41" s="7" t="str">
        <f>IF(Source!Z41="","",Source!Z41)</f>
        <v/>
      </c>
      <c r="N41" s="7" t="str">
        <f>IF(Source!AA41="","",Source!AA41)</f>
        <v/>
      </c>
      <c r="O41" s="7" t="str">
        <f>IF(Source!AB41="","",Source!AB41)</f>
        <v/>
      </c>
      <c r="P41" s="7" t="str">
        <f>IF(Source!AC41="","",Source!AC41)</f>
        <v/>
      </c>
      <c r="Q41" s="7" t="str">
        <f>IF(Source!AD41="","",TEXT(Source!AD41,"000000000"))</f>
        <v/>
      </c>
      <c r="R41" s="7" t="str">
        <f>IF(Source!AE41="","","physical AIS type "&amp;Source!AE41)</f>
        <v/>
      </c>
      <c r="S41" s="7" t="str">
        <f>IF(Source!AF41="","",IF(LEN(Source!AF41)=1,UPPER(Source!AF41),"yes"))</f>
        <v/>
      </c>
      <c r="T41" s="7" t="str">
        <f>IF(Source!AG41="","",Source!AG41)</f>
        <v/>
      </c>
      <c r="U41" s="7" t="str">
        <f>IF(Source!AH41="","",YEAR(Source!AH41)&amp;"-"&amp;TEXT(MONTH(Source!AH41),"00")&amp;"-"&amp;TEXT(DAY(Source!AH41),"00"))</f>
        <v/>
      </c>
      <c r="V41" s="7" t="str">
        <f>IF(Source!AI41="","",IF(OR(UPPER(Source!AI41)="YES",UPPER(Source!AI41)="Y"),"visually conspicuous",IF(OR(UPPER(Source!AI41)="NO",UPPER(Source!AI41)="N"),"not visually conspicuous",Source!AI41)))</f>
        <v/>
      </c>
      <c r="W41" s="7" t="str">
        <f>IF(Source!AJ41="","",Source!AJ41)</f>
        <v/>
      </c>
    </row>
    <row r="42">
      <c r="A42" s="7" t="str">
        <f>IF(Source!A42="","",Source!A42&amp;"")</f>
        <v/>
      </c>
      <c r="B42" s="7" t="str">
        <f>TRIM(Source!C42&amp;" "&amp;Source!B42&amp;" "&amp;Source!D42)</f>
        <v/>
      </c>
      <c r="C42" s="7" t="str">
        <f>IF(Source!E42="","",Source!E42)</f>
        <v/>
      </c>
      <c r="D42" s="7" t="str">
        <f>IF(Source!F42="","",ROUND(IF(UPPER(Source!I42)="S",-1,1)*(N(Source!F42)+N(Source!G42)/60+N(Source!H42)/3600),7))</f>
        <v/>
      </c>
      <c r="E42" s="7" t="str">
        <f>IF(Source!J42="","",ROUND(IF(UPPER(Source!M42)="W",-1,1)*(N(Source!J42)+N(Source!K42)/60+N(Source!L42)/3600),7))</f>
        <v/>
      </c>
      <c r="F42" s="7" t="str">
        <f>SUBSTITUTE(TRIM(Source!N42&amp;" "&amp;Source!O42&amp;" "&amp;Source!P42)," ","/")</f>
        <v/>
      </c>
      <c r="G42" s="7" t="str">
        <f>IF(Source!Q42="","",Source!Q42)</f>
        <v/>
      </c>
      <c r="H42" s="7" t="str">
        <f>IF(Source!R42="","",Source!R42)</f>
        <v/>
      </c>
      <c r="I42" s="7" t="str">
        <f>IF(Source!S42&lt;&gt;"",Source!S42,IF(Source!C42&lt;&gt;"",Source!C42,""))</f>
        <v/>
      </c>
      <c r="J42" s="7" t="str">
        <f>TRIM(Source!T42&amp;" "&amp;Source!U42&amp;" "&amp;IF(Source!V42="","",Source!V42&amp;"s")&amp;" "&amp;IF(Source!W42="","",Source!W42&amp;"M"))</f>
        <v/>
      </c>
      <c r="K42" s="7" t="str">
        <f>IF(Source!X42="","",Source!X42)</f>
        <v/>
      </c>
      <c r="L42" s="7" t="str">
        <f>IF(Source!Y42="","",Source!Y42)</f>
        <v/>
      </c>
      <c r="M42" s="7" t="str">
        <f>IF(Source!Z42="","",Source!Z42)</f>
        <v/>
      </c>
      <c r="N42" s="7" t="str">
        <f>IF(Source!AA42="","",Source!AA42)</f>
        <v/>
      </c>
      <c r="O42" s="7" t="str">
        <f>IF(Source!AB42="","",Source!AB42)</f>
        <v/>
      </c>
      <c r="P42" s="7" t="str">
        <f>IF(Source!AC42="","",Source!AC42)</f>
        <v/>
      </c>
      <c r="Q42" s="7" t="str">
        <f>IF(Source!AD42="","",TEXT(Source!AD42,"000000000"))</f>
        <v/>
      </c>
      <c r="R42" s="7" t="str">
        <f>IF(Source!AE42="","","physical AIS type "&amp;Source!AE42)</f>
        <v/>
      </c>
      <c r="S42" s="7" t="str">
        <f>IF(Source!AF42="","",IF(LEN(Source!AF42)=1,UPPER(Source!AF42),"yes"))</f>
        <v/>
      </c>
      <c r="T42" s="7" t="str">
        <f>IF(Source!AG42="","",Source!AG42)</f>
        <v/>
      </c>
      <c r="U42" s="7" t="str">
        <f>IF(Source!AH42="","",YEAR(Source!AH42)&amp;"-"&amp;TEXT(MONTH(Source!AH42),"00")&amp;"-"&amp;TEXT(DAY(Source!AH42),"00"))</f>
        <v/>
      </c>
      <c r="V42" s="7" t="str">
        <f>IF(Source!AI42="","",IF(OR(UPPER(Source!AI42)="YES",UPPER(Source!AI42)="Y"),"visually conspicuous",IF(OR(UPPER(Source!AI42)="NO",UPPER(Source!AI42)="N"),"not visually conspicuous",Source!AI42)))</f>
        <v/>
      </c>
      <c r="W42" s="7" t="str">
        <f>IF(Source!AJ42="","",Source!AJ42)</f>
        <v/>
      </c>
    </row>
    <row r="43">
      <c r="A43" s="7" t="str">
        <f>IF(Source!A43="","",Source!A43&amp;"")</f>
        <v/>
      </c>
      <c r="B43" s="7" t="str">
        <f>TRIM(Source!C43&amp;" "&amp;Source!B43&amp;" "&amp;Source!D43)</f>
        <v/>
      </c>
      <c r="C43" s="7" t="str">
        <f>IF(Source!E43="","",Source!E43)</f>
        <v/>
      </c>
      <c r="D43" s="7" t="str">
        <f>IF(Source!F43="","",ROUND(IF(UPPER(Source!I43)="S",-1,1)*(N(Source!F43)+N(Source!G43)/60+N(Source!H43)/3600),7))</f>
        <v/>
      </c>
      <c r="E43" s="7" t="str">
        <f>IF(Source!J43="","",ROUND(IF(UPPER(Source!M43)="W",-1,1)*(N(Source!J43)+N(Source!K43)/60+N(Source!L43)/3600),7))</f>
        <v/>
      </c>
      <c r="F43" s="7" t="str">
        <f>SUBSTITUTE(TRIM(Source!N43&amp;" "&amp;Source!O43&amp;" "&amp;Source!P43)," ","/")</f>
        <v/>
      </c>
      <c r="G43" s="7" t="str">
        <f>IF(Source!Q43="","",Source!Q43)</f>
        <v/>
      </c>
      <c r="H43" s="7" t="str">
        <f>IF(Source!R43="","",Source!R43)</f>
        <v/>
      </c>
      <c r="I43" s="7" t="str">
        <f>IF(Source!S43&lt;&gt;"",Source!S43,IF(Source!C43&lt;&gt;"",Source!C43,""))</f>
        <v/>
      </c>
      <c r="J43" s="7" t="str">
        <f>TRIM(Source!T43&amp;" "&amp;Source!U43&amp;" "&amp;IF(Source!V43="","",Source!V43&amp;"s")&amp;" "&amp;IF(Source!W43="","",Source!W43&amp;"M"))</f>
        <v/>
      </c>
      <c r="K43" s="7" t="str">
        <f>IF(Source!X43="","",Source!X43)</f>
        <v/>
      </c>
      <c r="L43" s="7" t="str">
        <f>IF(Source!Y43="","",Source!Y43)</f>
        <v/>
      </c>
      <c r="M43" s="7" t="str">
        <f>IF(Source!Z43="","",Source!Z43)</f>
        <v/>
      </c>
      <c r="N43" s="7" t="str">
        <f>IF(Source!AA43="","",Source!AA43)</f>
        <v/>
      </c>
      <c r="O43" s="7" t="str">
        <f>IF(Source!AB43="","",Source!AB43)</f>
        <v/>
      </c>
      <c r="P43" s="7" t="str">
        <f>IF(Source!AC43="","",Source!AC43)</f>
        <v/>
      </c>
      <c r="Q43" s="7" t="str">
        <f>IF(Source!AD43="","",TEXT(Source!AD43,"000000000"))</f>
        <v/>
      </c>
      <c r="R43" s="7" t="str">
        <f>IF(Source!AE43="","","physical AIS type "&amp;Source!AE43)</f>
        <v/>
      </c>
      <c r="S43" s="7" t="str">
        <f>IF(Source!AF43="","",IF(LEN(Source!AF43)=1,UPPER(Source!AF43),"yes"))</f>
        <v/>
      </c>
      <c r="T43" s="7" t="str">
        <f>IF(Source!AG43="","",Source!AG43)</f>
        <v/>
      </c>
      <c r="U43" s="7" t="str">
        <f>IF(Source!AH43="","",YEAR(Source!AH43)&amp;"-"&amp;TEXT(MONTH(Source!AH43),"00")&amp;"-"&amp;TEXT(DAY(Source!AH43),"00"))</f>
        <v/>
      </c>
      <c r="V43" s="7" t="str">
        <f>IF(Source!AI43="","",IF(OR(UPPER(Source!AI43)="YES",UPPER(Source!AI43)="Y"),"visually conspicuous",IF(OR(UPPER(Source!AI43)="NO",UPPER(Source!AI43)="N"),"not visually conspicuous",Source!AI43)))</f>
        <v/>
      </c>
      <c r="W43" s="7" t="str">
        <f>IF(Source!AJ43="","",Source!AJ43)</f>
        <v/>
      </c>
    </row>
    <row r="44">
      <c r="A44" s="7" t="str">
        <f>IF(Source!A44="","",Source!A44&amp;"")</f>
        <v/>
      </c>
      <c r="B44" s="7" t="str">
        <f>TRIM(Source!C44&amp;" "&amp;Source!B44&amp;" "&amp;Source!D44)</f>
        <v/>
      </c>
      <c r="C44" s="7" t="str">
        <f>IF(Source!E44="","",Source!E44)</f>
        <v/>
      </c>
      <c r="D44" s="7" t="str">
        <f>IF(Source!F44="","",ROUND(IF(UPPER(Source!I44)="S",-1,1)*(N(Source!F44)+N(Source!G44)/60+N(Source!H44)/3600),7))</f>
        <v/>
      </c>
      <c r="E44" s="7" t="str">
        <f>IF(Source!J44="","",ROUND(IF(UPPER(Source!M44)="W",-1,1)*(N(Source!J44)+N(Source!K44)/60+N(Source!L44)/3600),7))</f>
        <v/>
      </c>
      <c r="F44" s="7" t="str">
        <f>SUBSTITUTE(TRIM(Source!N44&amp;" "&amp;Source!O44&amp;" "&amp;Source!P44)," ","/")</f>
        <v/>
      </c>
      <c r="G44" s="7" t="str">
        <f>IF(Source!Q44="","",Source!Q44)</f>
        <v/>
      </c>
      <c r="H44" s="7" t="str">
        <f>IF(Source!R44="","",Source!R44)</f>
        <v/>
      </c>
      <c r="I44" s="7" t="str">
        <f>IF(Source!S44&lt;&gt;"",Source!S44,IF(Source!C44&lt;&gt;"",Source!C44,""))</f>
        <v/>
      </c>
      <c r="J44" s="7" t="str">
        <f>TRIM(Source!T44&amp;" "&amp;Source!U44&amp;" "&amp;IF(Source!V44="","",Source!V44&amp;"s")&amp;" "&amp;IF(Source!W44="","",Source!W44&amp;"M"))</f>
        <v/>
      </c>
      <c r="K44" s="7" t="str">
        <f>IF(Source!X44="","",Source!X44)</f>
        <v/>
      </c>
      <c r="L44" s="7" t="str">
        <f>IF(Source!Y44="","",Source!Y44)</f>
        <v/>
      </c>
      <c r="M44" s="7" t="str">
        <f>IF(Source!Z44="","",Source!Z44)</f>
        <v/>
      </c>
      <c r="N44" s="7" t="str">
        <f>IF(Source!AA44="","",Source!AA44)</f>
        <v/>
      </c>
      <c r="O44" s="7" t="str">
        <f>IF(Source!AB44="","",Source!AB44)</f>
        <v/>
      </c>
      <c r="P44" s="7" t="str">
        <f>IF(Source!AC44="","",Source!AC44)</f>
        <v/>
      </c>
      <c r="Q44" s="7" t="str">
        <f>IF(Source!AD44="","",TEXT(Source!AD44,"000000000"))</f>
        <v/>
      </c>
      <c r="R44" s="7" t="str">
        <f>IF(Source!AE44="","","physical AIS type "&amp;Source!AE44)</f>
        <v/>
      </c>
      <c r="S44" s="7" t="str">
        <f>IF(Source!AF44="","",IF(LEN(Source!AF44)=1,UPPER(Source!AF44),"yes"))</f>
        <v/>
      </c>
      <c r="T44" s="7" t="str">
        <f>IF(Source!AG44="","",Source!AG44)</f>
        <v/>
      </c>
      <c r="U44" s="7" t="str">
        <f>IF(Source!AH44="","",YEAR(Source!AH44)&amp;"-"&amp;TEXT(MONTH(Source!AH44),"00")&amp;"-"&amp;TEXT(DAY(Source!AH44),"00"))</f>
        <v/>
      </c>
      <c r="V44" s="7" t="str">
        <f>IF(Source!AI44="","",IF(OR(UPPER(Source!AI44)="YES",UPPER(Source!AI44)="Y"),"visually conspicuous",IF(OR(UPPER(Source!AI44)="NO",UPPER(Source!AI44)="N"),"not visually conspicuous",Source!AI44)))</f>
        <v/>
      </c>
      <c r="W44" s="7" t="str">
        <f>IF(Source!AJ44="","",Source!AJ44)</f>
        <v/>
      </c>
    </row>
    <row r="45">
      <c r="A45" s="7" t="str">
        <f>IF(Source!A45="","",Source!A45&amp;"")</f>
        <v/>
      </c>
      <c r="B45" s="7" t="str">
        <f>TRIM(Source!C45&amp;" "&amp;Source!B45&amp;" "&amp;Source!D45)</f>
        <v/>
      </c>
      <c r="C45" s="7" t="str">
        <f>IF(Source!E45="","",Source!E45)</f>
        <v/>
      </c>
      <c r="D45" s="7" t="str">
        <f>IF(Source!F45="","",ROUND(IF(UPPER(Source!I45)="S",-1,1)*(N(Source!F45)+N(Source!G45)/60+N(Source!H45)/3600),7))</f>
        <v/>
      </c>
      <c r="E45" s="7" t="str">
        <f>IF(Source!J45="","",ROUND(IF(UPPER(Source!M45)="W",-1,1)*(N(Source!J45)+N(Source!K45)/60+N(Source!L45)/3600),7))</f>
        <v/>
      </c>
      <c r="F45" s="7" t="str">
        <f>SUBSTITUTE(TRIM(Source!N45&amp;" "&amp;Source!O45&amp;" "&amp;Source!P45)," ","/")</f>
        <v/>
      </c>
      <c r="G45" s="7" t="str">
        <f>IF(Source!Q45="","",Source!Q45)</f>
        <v/>
      </c>
      <c r="H45" s="7" t="str">
        <f>IF(Source!R45="","",Source!R45)</f>
        <v/>
      </c>
      <c r="I45" s="7" t="str">
        <f>IF(Source!S45&lt;&gt;"",Source!S45,IF(Source!C45&lt;&gt;"",Source!C45,""))</f>
        <v/>
      </c>
      <c r="J45" s="7" t="str">
        <f>TRIM(Source!T45&amp;" "&amp;Source!U45&amp;" "&amp;IF(Source!V45="","",Source!V45&amp;"s")&amp;" "&amp;IF(Source!W45="","",Source!W45&amp;"M"))</f>
        <v/>
      </c>
      <c r="K45" s="7" t="str">
        <f>IF(Source!X45="","",Source!X45)</f>
        <v/>
      </c>
      <c r="L45" s="7" t="str">
        <f>IF(Source!Y45="","",Source!Y45)</f>
        <v/>
      </c>
      <c r="M45" s="7" t="str">
        <f>IF(Source!Z45="","",Source!Z45)</f>
        <v/>
      </c>
      <c r="N45" s="7" t="str">
        <f>IF(Source!AA45="","",Source!AA45)</f>
        <v/>
      </c>
      <c r="O45" s="7" t="str">
        <f>IF(Source!AB45="","",Source!AB45)</f>
        <v/>
      </c>
      <c r="P45" s="7" t="str">
        <f>IF(Source!AC45="","",Source!AC45)</f>
        <v/>
      </c>
      <c r="Q45" s="7" t="str">
        <f>IF(Source!AD45="","",TEXT(Source!AD45,"000000000"))</f>
        <v/>
      </c>
      <c r="R45" s="7" t="str">
        <f>IF(Source!AE45="","","physical AIS type "&amp;Source!AE45)</f>
        <v/>
      </c>
      <c r="S45" s="7" t="str">
        <f>IF(Source!AF45="","",IF(LEN(Source!AF45)=1,UPPER(Source!AF45),"yes"))</f>
        <v/>
      </c>
      <c r="T45" s="7" t="str">
        <f>IF(Source!AG45="","",Source!AG45)</f>
        <v/>
      </c>
      <c r="U45" s="7" t="str">
        <f>IF(Source!AH45="","",YEAR(Source!AH45)&amp;"-"&amp;TEXT(MONTH(Source!AH45),"00")&amp;"-"&amp;TEXT(DAY(Source!AH45),"00"))</f>
        <v/>
      </c>
      <c r="V45" s="7" t="str">
        <f>IF(Source!AI45="","",IF(OR(UPPER(Source!AI45)="YES",UPPER(Source!AI45)="Y"),"visually conspicuous",IF(OR(UPPER(Source!AI45)="NO",UPPER(Source!AI45)="N"),"not visually conspicuous",Source!AI45)))</f>
        <v/>
      </c>
      <c r="W45" s="7" t="str">
        <f>IF(Source!AJ45="","",Source!AJ45)</f>
        <v/>
      </c>
    </row>
    <row r="46">
      <c r="A46" s="7" t="str">
        <f>IF(Source!A46="","",Source!A46&amp;"")</f>
        <v/>
      </c>
      <c r="B46" s="7" t="str">
        <f>TRIM(Source!C46&amp;" "&amp;Source!B46&amp;" "&amp;Source!D46)</f>
        <v/>
      </c>
      <c r="C46" s="7" t="str">
        <f>IF(Source!E46="","",Source!E46)</f>
        <v/>
      </c>
      <c r="D46" s="7" t="str">
        <f>IF(Source!F46="","",ROUND(IF(UPPER(Source!I46)="S",-1,1)*(N(Source!F46)+N(Source!G46)/60+N(Source!H46)/3600),7))</f>
        <v/>
      </c>
      <c r="E46" s="7" t="str">
        <f>IF(Source!J46="","",ROUND(IF(UPPER(Source!M46)="W",-1,1)*(N(Source!J46)+N(Source!K46)/60+N(Source!L46)/3600),7))</f>
        <v/>
      </c>
      <c r="F46" s="7" t="str">
        <f>SUBSTITUTE(TRIM(Source!N46&amp;" "&amp;Source!O46&amp;" "&amp;Source!P46)," ","/")</f>
        <v/>
      </c>
      <c r="G46" s="7" t="str">
        <f>IF(Source!Q46="","",Source!Q46)</f>
        <v/>
      </c>
      <c r="H46" s="7" t="str">
        <f>IF(Source!R46="","",Source!R46)</f>
        <v/>
      </c>
      <c r="I46" s="7" t="str">
        <f>IF(Source!S46&lt;&gt;"",Source!S46,IF(Source!C46&lt;&gt;"",Source!C46,""))</f>
        <v/>
      </c>
      <c r="J46" s="7" t="str">
        <f>TRIM(Source!T46&amp;" "&amp;Source!U46&amp;" "&amp;IF(Source!V46="","",Source!V46&amp;"s")&amp;" "&amp;IF(Source!W46="","",Source!W46&amp;"M"))</f>
        <v/>
      </c>
      <c r="K46" s="7" t="str">
        <f>IF(Source!X46="","",Source!X46)</f>
        <v/>
      </c>
      <c r="L46" s="7" t="str">
        <f>IF(Source!Y46="","",Source!Y46)</f>
        <v/>
      </c>
      <c r="M46" s="7" t="str">
        <f>IF(Source!Z46="","",Source!Z46)</f>
        <v/>
      </c>
      <c r="N46" s="7" t="str">
        <f>IF(Source!AA46="","",Source!AA46)</f>
        <v/>
      </c>
      <c r="O46" s="7" t="str">
        <f>IF(Source!AB46="","",Source!AB46)</f>
        <v/>
      </c>
      <c r="P46" s="7" t="str">
        <f>IF(Source!AC46="","",Source!AC46)</f>
        <v/>
      </c>
      <c r="Q46" s="7" t="str">
        <f>IF(Source!AD46="","",TEXT(Source!AD46,"000000000"))</f>
        <v/>
      </c>
      <c r="R46" s="7" t="str">
        <f>IF(Source!AE46="","","physical AIS type "&amp;Source!AE46)</f>
        <v/>
      </c>
      <c r="S46" s="7" t="str">
        <f>IF(Source!AF46="","",IF(LEN(Source!AF46)=1,UPPER(Source!AF46),"yes"))</f>
        <v/>
      </c>
      <c r="T46" s="7" t="str">
        <f>IF(Source!AG46="","",Source!AG46)</f>
        <v/>
      </c>
      <c r="U46" s="7" t="str">
        <f>IF(Source!AH46="","",YEAR(Source!AH46)&amp;"-"&amp;TEXT(MONTH(Source!AH46),"00")&amp;"-"&amp;TEXT(DAY(Source!AH46),"00"))</f>
        <v/>
      </c>
      <c r="V46" s="7" t="str">
        <f>IF(Source!AI46="","",IF(OR(UPPER(Source!AI46)="YES",UPPER(Source!AI46)="Y"),"visually conspicuous",IF(OR(UPPER(Source!AI46)="NO",UPPER(Source!AI46)="N"),"not visually conspicuous",Source!AI46)))</f>
        <v/>
      </c>
      <c r="W46" s="7" t="str">
        <f>IF(Source!AJ46="","",Source!AJ46)</f>
        <v/>
      </c>
    </row>
    <row r="47">
      <c r="A47" s="7" t="str">
        <f>IF(Source!A47="","",Source!A47&amp;"")</f>
        <v/>
      </c>
      <c r="B47" s="7" t="str">
        <f>TRIM(Source!C47&amp;" "&amp;Source!B47&amp;" "&amp;Source!D47)</f>
        <v/>
      </c>
      <c r="C47" s="7" t="str">
        <f>IF(Source!E47="","",Source!E47)</f>
        <v/>
      </c>
      <c r="D47" s="7" t="str">
        <f>IF(Source!F47="","",ROUND(IF(UPPER(Source!I47)="S",-1,1)*(N(Source!F47)+N(Source!G47)/60+N(Source!H47)/3600),7))</f>
        <v/>
      </c>
      <c r="E47" s="7" t="str">
        <f>IF(Source!J47="","",ROUND(IF(UPPER(Source!M47)="W",-1,1)*(N(Source!J47)+N(Source!K47)/60+N(Source!L47)/3600),7))</f>
        <v/>
      </c>
      <c r="F47" s="7" t="str">
        <f>SUBSTITUTE(TRIM(Source!N47&amp;" "&amp;Source!O47&amp;" "&amp;Source!P47)," ","/")</f>
        <v/>
      </c>
      <c r="G47" s="7" t="str">
        <f>IF(Source!Q47="","",Source!Q47)</f>
        <v/>
      </c>
      <c r="H47" s="7" t="str">
        <f>IF(Source!R47="","",Source!R47)</f>
        <v/>
      </c>
      <c r="I47" s="7" t="str">
        <f>IF(Source!S47&lt;&gt;"",Source!S47,IF(Source!C47&lt;&gt;"",Source!C47,""))</f>
        <v/>
      </c>
      <c r="J47" s="7" t="str">
        <f>TRIM(Source!T47&amp;" "&amp;Source!U47&amp;" "&amp;IF(Source!V47="","",Source!V47&amp;"s")&amp;" "&amp;IF(Source!W47="","",Source!W47&amp;"M"))</f>
        <v/>
      </c>
      <c r="K47" s="7" t="str">
        <f>IF(Source!X47="","",Source!X47)</f>
        <v/>
      </c>
      <c r="L47" s="7" t="str">
        <f>IF(Source!Y47="","",Source!Y47)</f>
        <v/>
      </c>
      <c r="M47" s="7" t="str">
        <f>IF(Source!Z47="","",Source!Z47)</f>
        <v/>
      </c>
      <c r="N47" s="7" t="str">
        <f>IF(Source!AA47="","",Source!AA47)</f>
        <v/>
      </c>
      <c r="O47" s="7" t="str">
        <f>IF(Source!AB47="","",Source!AB47)</f>
        <v/>
      </c>
      <c r="P47" s="7" t="str">
        <f>IF(Source!AC47="","",Source!AC47)</f>
        <v/>
      </c>
      <c r="Q47" s="7" t="str">
        <f>IF(Source!AD47="","",TEXT(Source!AD47,"000000000"))</f>
        <v/>
      </c>
      <c r="R47" s="7" t="str">
        <f>IF(Source!AE47="","","physical AIS type "&amp;Source!AE47)</f>
        <v/>
      </c>
      <c r="S47" s="7" t="str">
        <f>IF(Source!AF47="","",IF(LEN(Source!AF47)=1,UPPER(Source!AF47),"yes"))</f>
        <v/>
      </c>
      <c r="T47" s="7" t="str">
        <f>IF(Source!AG47="","",Source!AG47)</f>
        <v/>
      </c>
      <c r="U47" s="7" t="str">
        <f>IF(Source!AH47="","",YEAR(Source!AH47)&amp;"-"&amp;TEXT(MONTH(Source!AH47),"00")&amp;"-"&amp;TEXT(DAY(Source!AH47),"00"))</f>
        <v/>
      </c>
      <c r="V47" s="7" t="str">
        <f>IF(Source!AI47="","",IF(OR(UPPER(Source!AI47)="YES",UPPER(Source!AI47)="Y"),"visually conspicuous",IF(OR(UPPER(Source!AI47)="NO",UPPER(Source!AI47)="N"),"not visually conspicuous",Source!AI47)))</f>
        <v/>
      </c>
      <c r="W47" s="7" t="str">
        <f>IF(Source!AJ47="","",Source!AJ47)</f>
        <v/>
      </c>
    </row>
    <row r="48">
      <c r="A48" s="7" t="str">
        <f>IF(Source!A48="","",Source!A48&amp;"")</f>
        <v/>
      </c>
      <c r="B48" s="7" t="str">
        <f>TRIM(Source!C48&amp;" "&amp;Source!B48&amp;" "&amp;Source!D48)</f>
        <v/>
      </c>
      <c r="C48" s="7" t="str">
        <f>IF(Source!E48="","",Source!E48)</f>
        <v/>
      </c>
      <c r="D48" s="7" t="str">
        <f>IF(Source!F48="","",ROUND(IF(UPPER(Source!I48)="S",-1,1)*(N(Source!F48)+N(Source!G48)/60+N(Source!H48)/3600),7))</f>
        <v/>
      </c>
      <c r="E48" s="7" t="str">
        <f>IF(Source!J48="","",ROUND(IF(UPPER(Source!M48)="W",-1,1)*(N(Source!J48)+N(Source!K48)/60+N(Source!L48)/3600),7))</f>
        <v/>
      </c>
      <c r="F48" s="7" t="str">
        <f>SUBSTITUTE(TRIM(Source!N48&amp;" "&amp;Source!O48&amp;" "&amp;Source!P48)," ","/")</f>
        <v/>
      </c>
      <c r="G48" s="7" t="str">
        <f>IF(Source!Q48="","",Source!Q48)</f>
        <v/>
      </c>
      <c r="H48" s="7" t="str">
        <f>IF(Source!R48="","",Source!R48)</f>
        <v/>
      </c>
      <c r="I48" s="7" t="str">
        <f>IF(Source!S48&lt;&gt;"",Source!S48,IF(Source!C48&lt;&gt;"",Source!C48,""))</f>
        <v/>
      </c>
      <c r="J48" s="7" t="str">
        <f>TRIM(Source!T48&amp;" "&amp;Source!U48&amp;" "&amp;IF(Source!V48="","",Source!V48&amp;"s")&amp;" "&amp;IF(Source!W48="","",Source!W48&amp;"M"))</f>
        <v/>
      </c>
      <c r="K48" s="7" t="str">
        <f>IF(Source!X48="","",Source!X48)</f>
        <v/>
      </c>
      <c r="L48" s="7" t="str">
        <f>IF(Source!Y48="","",Source!Y48)</f>
        <v/>
      </c>
      <c r="M48" s="7" t="str">
        <f>IF(Source!Z48="","",Source!Z48)</f>
        <v/>
      </c>
      <c r="N48" s="7" t="str">
        <f>IF(Source!AA48="","",Source!AA48)</f>
        <v/>
      </c>
      <c r="O48" s="7" t="str">
        <f>IF(Source!AB48="","",Source!AB48)</f>
        <v/>
      </c>
      <c r="P48" s="7" t="str">
        <f>IF(Source!AC48="","",Source!AC48)</f>
        <v/>
      </c>
      <c r="Q48" s="7" t="str">
        <f>IF(Source!AD48="","",TEXT(Source!AD48,"000000000"))</f>
        <v/>
      </c>
      <c r="R48" s="7" t="str">
        <f>IF(Source!AE48="","","physical AIS type "&amp;Source!AE48)</f>
        <v/>
      </c>
      <c r="S48" s="7" t="str">
        <f>IF(Source!AF48="","",IF(LEN(Source!AF48)=1,UPPER(Source!AF48),"yes"))</f>
        <v/>
      </c>
      <c r="T48" s="7" t="str">
        <f>IF(Source!AG48="","",Source!AG48)</f>
        <v/>
      </c>
      <c r="U48" s="7" t="str">
        <f>IF(Source!AH48="","",YEAR(Source!AH48)&amp;"-"&amp;TEXT(MONTH(Source!AH48),"00")&amp;"-"&amp;TEXT(DAY(Source!AH48),"00"))</f>
        <v/>
      </c>
      <c r="V48" s="7" t="str">
        <f>IF(Source!AI48="","",IF(OR(UPPER(Source!AI48)="YES",UPPER(Source!AI48)="Y"),"visually conspicuous",IF(OR(UPPER(Source!AI48)="NO",UPPER(Source!AI48)="N"),"not visually conspicuous",Source!AI48)))</f>
        <v/>
      </c>
      <c r="W48" s="7" t="str">
        <f>IF(Source!AJ48="","",Source!AJ48)</f>
        <v/>
      </c>
    </row>
    <row r="49">
      <c r="A49" s="7" t="str">
        <f>IF(Source!A49="","",Source!A49&amp;"")</f>
        <v/>
      </c>
      <c r="B49" s="7" t="str">
        <f>TRIM(Source!C49&amp;" "&amp;Source!B49&amp;" "&amp;Source!D49)</f>
        <v/>
      </c>
      <c r="C49" s="7" t="str">
        <f>IF(Source!E49="","",Source!E49)</f>
        <v/>
      </c>
      <c r="D49" s="7" t="str">
        <f>IF(Source!F49="","",ROUND(IF(UPPER(Source!I49)="S",-1,1)*(N(Source!F49)+N(Source!G49)/60+N(Source!H49)/3600),7))</f>
        <v/>
      </c>
      <c r="E49" s="7" t="str">
        <f>IF(Source!J49="","",ROUND(IF(UPPER(Source!M49)="W",-1,1)*(N(Source!J49)+N(Source!K49)/60+N(Source!L49)/3600),7))</f>
        <v/>
      </c>
      <c r="F49" s="7" t="str">
        <f>SUBSTITUTE(TRIM(Source!N49&amp;" "&amp;Source!O49&amp;" "&amp;Source!P49)," ","/")</f>
        <v/>
      </c>
      <c r="G49" s="7" t="str">
        <f>IF(Source!Q49="","",Source!Q49)</f>
        <v/>
      </c>
      <c r="H49" s="7" t="str">
        <f>IF(Source!R49="","",Source!R49)</f>
        <v/>
      </c>
      <c r="I49" s="7" t="str">
        <f>IF(Source!S49&lt;&gt;"",Source!S49,IF(Source!C49&lt;&gt;"",Source!C49,""))</f>
        <v/>
      </c>
      <c r="J49" s="7" t="str">
        <f>TRIM(Source!T49&amp;" "&amp;Source!U49&amp;" "&amp;IF(Source!V49="","",Source!V49&amp;"s")&amp;" "&amp;IF(Source!W49="","",Source!W49&amp;"M"))</f>
        <v/>
      </c>
      <c r="K49" s="7" t="str">
        <f>IF(Source!X49="","",Source!X49)</f>
        <v/>
      </c>
      <c r="L49" s="7" t="str">
        <f>IF(Source!Y49="","",Source!Y49)</f>
        <v/>
      </c>
      <c r="M49" s="7" t="str">
        <f>IF(Source!Z49="","",Source!Z49)</f>
        <v/>
      </c>
      <c r="N49" s="7" t="str">
        <f>IF(Source!AA49="","",Source!AA49)</f>
        <v/>
      </c>
      <c r="O49" s="7" t="str">
        <f>IF(Source!AB49="","",Source!AB49)</f>
        <v/>
      </c>
      <c r="P49" s="7" t="str">
        <f>IF(Source!AC49="","",Source!AC49)</f>
        <v/>
      </c>
      <c r="Q49" s="7" t="str">
        <f>IF(Source!AD49="","",TEXT(Source!AD49,"000000000"))</f>
        <v/>
      </c>
      <c r="R49" s="7" t="str">
        <f>IF(Source!AE49="","","physical AIS type "&amp;Source!AE49)</f>
        <v/>
      </c>
      <c r="S49" s="7" t="str">
        <f>IF(Source!AF49="","",IF(LEN(Source!AF49)=1,UPPER(Source!AF49),"yes"))</f>
        <v/>
      </c>
      <c r="T49" s="7" t="str">
        <f>IF(Source!AG49="","",Source!AG49)</f>
        <v/>
      </c>
      <c r="U49" s="7" t="str">
        <f>IF(Source!AH49="","",YEAR(Source!AH49)&amp;"-"&amp;TEXT(MONTH(Source!AH49),"00")&amp;"-"&amp;TEXT(DAY(Source!AH49),"00"))</f>
        <v/>
      </c>
      <c r="V49" s="7" t="str">
        <f>IF(Source!AI49="","",IF(OR(UPPER(Source!AI49)="YES",UPPER(Source!AI49)="Y"),"visually conspicuous",IF(OR(UPPER(Source!AI49)="NO",UPPER(Source!AI49)="N"),"not visually conspicuous",Source!AI49)))</f>
        <v/>
      </c>
      <c r="W49" s="7" t="str">
        <f>IF(Source!AJ49="","",Source!AJ49)</f>
        <v/>
      </c>
    </row>
    <row r="50">
      <c r="A50" s="7" t="str">
        <f>IF(Source!A50="","",Source!A50&amp;"")</f>
        <v/>
      </c>
      <c r="B50" s="7" t="str">
        <f>TRIM(Source!C50&amp;" "&amp;Source!B50&amp;" "&amp;Source!D50)</f>
        <v/>
      </c>
      <c r="C50" s="7" t="str">
        <f>IF(Source!E50="","",Source!E50)</f>
        <v/>
      </c>
      <c r="D50" s="7" t="str">
        <f>IF(Source!F50="","",ROUND(IF(UPPER(Source!I50)="S",-1,1)*(N(Source!F50)+N(Source!G50)/60+N(Source!H50)/3600),7))</f>
        <v/>
      </c>
      <c r="E50" s="7" t="str">
        <f>IF(Source!J50="","",ROUND(IF(UPPER(Source!M50)="W",-1,1)*(N(Source!J50)+N(Source!K50)/60+N(Source!L50)/3600),7))</f>
        <v/>
      </c>
      <c r="F50" s="7" t="str">
        <f>SUBSTITUTE(TRIM(Source!N50&amp;" "&amp;Source!O50&amp;" "&amp;Source!P50)," ","/")</f>
        <v/>
      </c>
      <c r="G50" s="7" t="str">
        <f>IF(Source!Q50="","",Source!Q50)</f>
        <v/>
      </c>
      <c r="H50" s="7" t="str">
        <f>IF(Source!R50="","",Source!R50)</f>
        <v/>
      </c>
      <c r="I50" s="7" t="str">
        <f>IF(Source!S50&lt;&gt;"",Source!S50,IF(Source!C50&lt;&gt;"",Source!C50,""))</f>
        <v/>
      </c>
      <c r="J50" s="7" t="str">
        <f>TRIM(Source!T50&amp;" "&amp;Source!U50&amp;" "&amp;IF(Source!V50="","",Source!V50&amp;"s")&amp;" "&amp;IF(Source!W50="","",Source!W50&amp;"M"))</f>
        <v/>
      </c>
      <c r="K50" s="7" t="str">
        <f>IF(Source!X50="","",Source!X50)</f>
        <v/>
      </c>
      <c r="L50" s="7" t="str">
        <f>IF(Source!Y50="","",Source!Y50)</f>
        <v/>
      </c>
      <c r="M50" s="7" t="str">
        <f>IF(Source!Z50="","",Source!Z50)</f>
        <v/>
      </c>
      <c r="N50" s="7" t="str">
        <f>IF(Source!AA50="","",Source!AA50)</f>
        <v/>
      </c>
      <c r="O50" s="7" t="str">
        <f>IF(Source!AB50="","",Source!AB50)</f>
        <v/>
      </c>
      <c r="P50" s="7" t="str">
        <f>IF(Source!AC50="","",Source!AC50)</f>
        <v/>
      </c>
      <c r="Q50" s="7" t="str">
        <f>IF(Source!AD50="","",TEXT(Source!AD50,"000000000"))</f>
        <v/>
      </c>
      <c r="R50" s="7" t="str">
        <f>IF(Source!AE50="","","physical AIS type "&amp;Source!AE50)</f>
        <v/>
      </c>
      <c r="S50" s="7" t="str">
        <f>IF(Source!AF50="","",IF(LEN(Source!AF50)=1,UPPER(Source!AF50),"yes"))</f>
        <v/>
      </c>
      <c r="T50" s="7" t="str">
        <f>IF(Source!AG50="","",Source!AG50)</f>
        <v/>
      </c>
      <c r="U50" s="7" t="str">
        <f>IF(Source!AH50="","",YEAR(Source!AH50)&amp;"-"&amp;TEXT(MONTH(Source!AH50),"00")&amp;"-"&amp;TEXT(DAY(Source!AH50),"00"))</f>
        <v/>
      </c>
      <c r="V50" s="7" t="str">
        <f>IF(Source!AI50="","",IF(OR(UPPER(Source!AI50)="YES",UPPER(Source!AI50)="Y"),"visually conspicuous",IF(OR(UPPER(Source!AI50)="NO",UPPER(Source!AI50)="N"),"not visually conspicuous",Source!AI50)))</f>
        <v/>
      </c>
      <c r="W50" s="7" t="str">
        <f>IF(Source!AJ50="","",Source!AJ50)</f>
        <v/>
      </c>
    </row>
    <row r="51">
      <c r="A51" s="7" t="str">
        <f>IF(Source!A51="","",Source!A51&amp;"")</f>
        <v/>
      </c>
      <c r="B51" s="7" t="str">
        <f>TRIM(Source!C51&amp;" "&amp;Source!B51&amp;" "&amp;Source!D51)</f>
        <v/>
      </c>
      <c r="C51" s="7" t="str">
        <f>IF(Source!E51="","",Source!E51)</f>
        <v/>
      </c>
      <c r="D51" s="7" t="str">
        <f>IF(Source!F51="","",ROUND(IF(UPPER(Source!I51)="S",-1,1)*(N(Source!F51)+N(Source!G51)/60+N(Source!H51)/3600),7))</f>
        <v/>
      </c>
      <c r="E51" s="7" t="str">
        <f>IF(Source!J51="","",ROUND(IF(UPPER(Source!M51)="W",-1,1)*(N(Source!J51)+N(Source!K51)/60+N(Source!L51)/3600),7))</f>
        <v/>
      </c>
      <c r="F51" s="7" t="str">
        <f>SUBSTITUTE(TRIM(Source!N51&amp;" "&amp;Source!O51&amp;" "&amp;Source!P51)," ","/")</f>
        <v/>
      </c>
      <c r="G51" s="7" t="str">
        <f>IF(Source!Q51="","",Source!Q51)</f>
        <v/>
      </c>
      <c r="H51" s="7" t="str">
        <f>IF(Source!R51="","",Source!R51)</f>
        <v/>
      </c>
      <c r="I51" s="7" t="str">
        <f>IF(Source!S51&lt;&gt;"",Source!S51,IF(Source!C51&lt;&gt;"",Source!C51,""))</f>
        <v/>
      </c>
      <c r="J51" s="7" t="str">
        <f>TRIM(Source!T51&amp;" "&amp;Source!U51&amp;" "&amp;IF(Source!V51="","",Source!V51&amp;"s")&amp;" "&amp;IF(Source!W51="","",Source!W51&amp;"M"))</f>
        <v/>
      </c>
      <c r="K51" s="7" t="str">
        <f>IF(Source!X51="","",Source!X51)</f>
        <v/>
      </c>
      <c r="L51" s="7" t="str">
        <f>IF(Source!Y51="","",Source!Y51)</f>
        <v/>
      </c>
      <c r="M51" s="7" t="str">
        <f>IF(Source!Z51="","",Source!Z51)</f>
        <v/>
      </c>
      <c r="N51" s="7" t="str">
        <f>IF(Source!AA51="","",Source!AA51)</f>
        <v/>
      </c>
      <c r="O51" s="7" t="str">
        <f>IF(Source!AB51="","",Source!AB51)</f>
        <v/>
      </c>
      <c r="P51" s="7" t="str">
        <f>IF(Source!AC51="","",Source!AC51)</f>
        <v/>
      </c>
      <c r="Q51" s="7" t="str">
        <f>IF(Source!AD51="","",TEXT(Source!AD51,"000000000"))</f>
        <v/>
      </c>
      <c r="R51" s="7" t="str">
        <f>IF(Source!AE51="","","physical AIS type "&amp;Source!AE51)</f>
        <v/>
      </c>
      <c r="S51" s="7" t="str">
        <f>IF(Source!AF51="","",IF(LEN(Source!AF51)=1,UPPER(Source!AF51),"yes"))</f>
        <v/>
      </c>
      <c r="T51" s="7" t="str">
        <f>IF(Source!AG51="","",Source!AG51)</f>
        <v/>
      </c>
      <c r="U51" s="7" t="str">
        <f>IF(Source!AH51="","",YEAR(Source!AH51)&amp;"-"&amp;TEXT(MONTH(Source!AH51),"00")&amp;"-"&amp;TEXT(DAY(Source!AH51),"00"))</f>
        <v/>
      </c>
      <c r="V51" s="7" t="str">
        <f>IF(Source!AI51="","",IF(OR(UPPER(Source!AI51)="YES",UPPER(Source!AI51)="Y"),"visually conspicuous",IF(OR(UPPER(Source!AI51)="NO",UPPER(Source!AI51)="N"),"not visually conspicuous",Source!AI51)))</f>
        <v/>
      </c>
      <c r="W51" s="7" t="str">
        <f>IF(Source!AJ51="","",Source!AJ51)</f>
        <v/>
      </c>
    </row>
    <row r="52">
      <c r="A52" s="7" t="str">
        <f>IF(Source!A52="","",Source!A52&amp;"")</f>
        <v/>
      </c>
      <c r="B52" s="7" t="str">
        <f>TRIM(Source!C52&amp;" "&amp;Source!B52&amp;" "&amp;Source!D52)</f>
        <v/>
      </c>
      <c r="C52" s="7" t="str">
        <f>IF(Source!E52="","",Source!E52)</f>
        <v/>
      </c>
      <c r="D52" s="7" t="str">
        <f>IF(Source!F52="","",ROUND(IF(UPPER(Source!I52)="S",-1,1)*(N(Source!F52)+N(Source!G52)/60+N(Source!H52)/3600),7))</f>
        <v/>
      </c>
      <c r="E52" s="7" t="str">
        <f>IF(Source!J52="","",ROUND(IF(UPPER(Source!M52)="W",-1,1)*(N(Source!J52)+N(Source!K52)/60+N(Source!L52)/3600),7))</f>
        <v/>
      </c>
      <c r="F52" s="7" t="str">
        <f>SUBSTITUTE(TRIM(Source!N52&amp;" "&amp;Source!O52&amp;" "&amp;Source!P52)," ","/")</f>
        <v/>
      </c>
      <c r="G52" s="7" t="str">
        <f>IF(Source!Q52="","",Source!Q52)</f>
        <v/>
      </c>
      <c r="H52" s="7" t="str">
        <f>IF(Source!R52="","",Source!R52)</f>
        <v/>
      </c>
      <c r="I52" s="7" t="str">
        <f>IF(Source!S52&lt;&gt;"",Source!S52,IF(Source!C52&lt;&gt;"",Source!C52,""))</f>
        <v/>
      </c>
      <c r="J52" s="7" t="str">
        <f>TRIM(Source!T52&amp;" "&amp;Source!U52&amp;" "&amp;IF(Source!V52="","",Source!V52&amp;"s")&amp;" "&amp;IF(Source!W52="","",Source!W52&amp;"M"))</f>
        <v/>
      </c>
      <c r="K52" s="7" t="str">
        <f>IF(Source!X52="","",Source!X52)</f>
        <v/>
      </c>
      <c r="L52" s="7" t="str">
        <f>IF(Source!Y52="","",Source!Y52)</f>
        <v/>
      </c>
      <c r="M52" s="7" t="str">
        <f>IF(Source!Z52="","",Source!Z52)</f>
        <v/>
      </c>
      <c r="N52" s="7" t="str">
        <f>IF(Source!AA52="","",Source!AA52)</f>
        <v/>
      </c>
      <c r="O52" s="7" t="str">
        <f>IF(Source!AB52="","",Source!AB52)</f>
        <v/>
      </c>
      <c r="P52" s="7" t="str">
        <f>IF(Source!AC52="","",Source!AC52)</f>
        <v/>
      </c>
      <c r="Q52" s="7" t="str">
        <f>IF(Source!AD52="","",TEXT(Source!AD52,"000000000"))</f>
        <v/>
      </c>
      <c r="R52" s="7" t="str">
        <f>IF(Source!AE52="","","physical AIS type "&amp;Source!AE52)</f>
        <v/>
      </c>
      <c r="S52" s="7" t="str">
        <f>IF(Source!AF52="","",IF(LEN(Source!AF52)=1,UPPER(Source!AF52),"yes"))</f>
        <v/>
      </c>
      <c r="T52" s="7" t="str">
        <f>IF(Source!AG52="","",Source!AG52)</f>
        <v/>
      </c>
      <c r="U52" s="7" t="str">
        <f>IF(Source!AH52="","",YEAR(Source!AH52)&amp;"-"&amp;TEXT(MONTH(Source!AH52),"00")&amp;"-"&amp;TEXT(DAY(Source!AH52),"00"))</f>
        <v/>
      </c>
      <c r="V52" s="7" t="str">
        <f>IF(Source!AI52="","",IF(OR(UPPER(Source!AI52)="YES",UPPER(Source!AI52)="Y"),"visually conspicuous",IF(OR(UPPER(Source!AI52)="NO",UPPER(Source!AI52)="N"),"not visually conspicuous",Source!AI52)))</f>
        <v/>
      </c>
      <c r="W52" s="7" t="str">
        <f>IF(Source!AJ52="","",Source!AJ52)</f>
        <v/>
      </c>
    </row>
    <row r="53">
      <c r="A53" s="7" t="str">
        <f>IF(Source!A53="","",Source!A53&amp;"")</f>
        <v/>
      </c>
      <c r="B53" s="7" t="str">
        <f>TRIM(Source!C53&amp;" "&amp;Source!B53&amp;" "&amp;Source!D53)</f>
        <v/>
      </c>
      <c r="C53" s="7" t="str">
        <f>IF(Source!E53="","",Source!E53)</f>
        <v/>
      </c>
      <c r="D53" s="7" t="str">
        <f>IF(Source!F53="","",ROUND(IF(UPPER(Source!I53)="S",-1,1)*(N(Source!F53)+N(Source!G53)/60+N(Source!H53)/3600),7))</f>
        <v/>
      </c>
      <c r="E53" s="7" t="str">
        <f>IF(Source!J53="","",ROUND(IF(UPPER(Source!M53)="W",-1,1)*(N(Source!J53)+N(Source!K53)/60+N(Source!L53)/3600),7))</f>
        <v/>
      </c>
      <c r="F53" s="7" t="str">
        <f>SUBSTITUTE(TRIM(Source!N53&amp;" "&amp;Source!O53&amp;" "&amp;Source!P53)," ","/")</f>
        <v/>
      </c>
      <c r="G53" s="7" t="str">
        <f>IF(Source!Q53="","",Source!Q53)</f>
        <v/>
      </c>
      <c r="H53" s="7" t="str">
        <f>IF(Source!R53="","",Source!R53)</f>
        <v/>
      </c>
      <c r="I53" s="7" t="str">
        <f>IF(Source!S53&lt;&gt;"",Source!S53,IF(Source!C53&lt;&gt;"",Source!C53,""))</f>
        <v/>
      </c>
      <c r="J53" s="7" t="str">
        <f>TRIM(Source!T53&amp;" "&amp;Source!U53&amp;" "&amp;IF(Source!V53="","",Source!V53&amp;"s")&amp;" "&amp;IF(Source!W53="","",Source!W53&amp;"M"))</f>
        <v/>
      </c>
      <c r="K53" s="7" t="str">
        <f>IF(Source!X53="","",Source!X53)</f>
        <v/>
      </c>
      <c r="L53" s="7" t="str">
        <f>IF(Source!Y53="","",Source!Y53)</f>
        <v/>
      </c>
      <c r="M53" s="7" t="str">
        <f>IF(Source!Z53="","",Source!Z53)</f>
        <v/>
      </c>
      <c r="N53" s="7" t="str">
        <f>IF(Source!AA53="","",Source!AA53)</f>
        <v/>
      </c>
      <c r="O53" s="7" t="str">
        <f>IF(Source!AB53="","",Source!AB53)</f>
        <v/>
      </c>
      <c r="P53" s="7" t="str">
        <f>IF(Source!AC53="","",Source!AC53)</f>
        <v/>
      </c>
      <c r="Q53" s="7" t="str">
        <f>IF(Source!AD53="","",TEXT(Source!AD53,"000000000"))</f>
        <v/>
      </c>
      <c r="R53" s="7" t="str">
        <f>IF(Source!AE53="","","physical AIS type "&amp;Source!AE53)</f>
        <v/>
      </c>
      <c r="S53" s="7" t="str">
        <f>IF(Source!AF53="","",IF(LEN(Source!AF53)=1,UPPER(Source!AF53),"yes"))</f>
        <v/>
      </c>
      <c r="T53" s="7" t="str">
        <f>IF(Source!AG53="","",Source!AG53)</f>
        <v/>
      </c>
      <c r="U53" s="7" t="str">
        <f>IF(Source!AH53="","",YEAR(Source!AH53)&amp;"-"&amp;TEXT(MONTH(Source!AH53),"00")&amp;"-"&amp;TEXT(DAY(Source!AH53),"00"))</f>
        <v/>
      </c>
      <c r="V53" s="7" t="str">
        <f>IF(Source!AI53="","",IF(OR(UPPER(Source!AI53)="YES",UPPER(Source!AI53)="Y"),"visually conspicuous",IF(OR(UPPER(Source!AI53)="NO",UPPER(Source!AI53)="N"),"not visually conspicuous",Source!AI53)))</f>
        <v/>
      </c>
      <c r="W53" s="7" t="str">
        <f>IF(Source!AJ53="","",Source!AJ53)</f>
        <v/>
      </c>
    </row>
    <row r="54">
      <c r="A54" s="7" t="str">
        <f>IF(Source!A54="","",Source!A54&amp;"")</f>
        <v/>
      </c>
      <c r="B54" s="7" t="str">
        <f>TRIM(Source!C54&amp;" "&amp;Source!B54&amp;" "&amp;Source!D54)</f>
        <v/>
      </c>
      <c r="C54" s="7" t="str">
        <f>IF(Source!E54="","",Source!E54)</f>
        <v/>
      </c>
      <c r="D54" s="7" t="str">
        <f>IF(Source!F54="","",ROUND(IF(UPPER(Source!I54)="S",-1,1)*(N(Source!F54)+N(Source!G54)/60+N(Source!H54)/3600),7))</f>
        <v/>
      </c>
      <c r="E54" s="7" t="str">
        <f>IF(Source!J54="","",ROUND(IF(UPPER(Source!M54)="W",-1,1)*(N(Source!J54)+N(Source!K54)/60+N(Source!L54)/3600),7))</f>
        <v/>
      </c>
      <c r="F54" s="7" t="str">
        <f>SUBSTITUTE(TRIM(Source!N54&amp;" "&amp;Source!O54&amp;" "&amp;Source!P54)," ","/")</f>
        <v/>
      </c>
      <c r="G54" s="7" t="str">
        <f>IF(Source!Q54="","",Source!Q54)</f>
        <v/>
      </c>
      <c r="H54" s="7" t="str">
        <f>IF(Source!R54="","",Source!R54)</f>
        <v/>
      </c>
      <c r="I54" s="7" t="str">
        <f>IF(Source!S54&lt;&gt;"",Source!S54,IF(Source!C54&lt;&gt;"",Source!C54,""))</f>
        <v/>
      </c>
      <c r="J54" s="7" t="str">
        <f>TRIM(Source!T54&amp;" "&amp;Source!U54&amp;" "&amp;IF(Source!V54="","",Source!V54&amp;"s")&amp;" "&amp;IF(Source!W54="","",Source!W54&amp;"M"))</f>
        <v/>
      </c>
      <c r="K54" s="7" t="str">
        <f>IF(Source!X54="","",Source!X54)</f>
        <v/>
      </c>
      <c r="L54" s="7" t="str">
        <f>IF(Source!Y54="","",Source!Y54)</f>
        <v/>
      </c>
      <c r="M54" s="7" t="str">
        <f>IF(Source!Z54="","",Source!Z54)</f>
        <v/>
      </c>
      <c r="N54" s="7" t="str">
        <f>IF(Source!AA54="","",Source!AA54)</f>
        <v/>
      </c>
      <c r="O54" s="7" t="str">
        <f>IF(Source!AB54="","",Source!AB54)</f>
        <v/>
      </c>
      <c r="P54" s="7" t="str">
        <f>IF(Source!AC54="","",Source!AC54)</f>
        <v/>
      </c>
      <c r="Q54" s="7" t="str">
        <f>IF(Source!AD54="","",TEXT(Source!AD54,"000000000"))</f>
        <v/>
      </c>
      <c r="R54" s="7" t="str">
        <f>IF(Source!AE54="","","physical AIS type "&amp;Source!AE54)</f>
        <v/>
      </c>
      <c r="S54" s="7" t="str">
        <f>IF(Source!AF54="","",IF(LEN(Source!AF54)=1,UPPER(Source!AF54),"yes"))</f>
        <v/>
      </c>
      <c r="T54" s="7" t="str">
        <f>IF(Source!AG54="","",Source!AG54)</f>
        <v/>
      </c>
      <c r="U54" s="7" t="str">
        <f>IF(Source!AH54="","",YEAR(Source!AH54)&amp;"-"&amp;TEXT(MONTH(Source!AH54),"00")&amp;"-"&amp;TEXT(DAY(Source!AH54),"00"))</f>
        <v/>
      </c>
      <c r="V54" s="7" t="str">
        <f>IF(Source!AI54="","",IF(OR(UPPER(Source!AI54)="YES",UPPER(Source!AI54)="Y"),"visually conspicuous",IF(OR(UPPER(Source!AI54)="NO",UPPER(Source!AI54)="N"),"not visually conspicuous",Source!AI54)))</f>
        <v/>
      </c>
      <c r="W54" s="7" t="str">
        <f>IF(Source!AJ54="","",Source!AJ54)</f>
        <v/>
      </c>
    </row>
    <row r="55">
      <c r="A55" s="7" t="str">
        <f>IF(Source!A55="","",Source!A55&amp;"")</f>
        <v/>
      </c>
      <c r="B55" s="7" t="str">
        <f>TRIM(Source!C55&amp;" "&amp;Source!B55&amp;" "&amp;Source!D55)</f>
        <v/>
      </c>
      <c r="C55" s="7" t="str">
        <f>IF(Source!E55="","",Source!E55)</f>
        <v/>
      </c>
      <c r="D55" s="7" t="str">
        <f>IF(Source!F55="","",ROUND(IF(UPPER(Source!I55)="S",-1,1)*(N(Source!F55)+N(Source!G55)/60+N(Source!H55)/3600),7))</f>
        <v/>
      </c>
      <c r="E55" s="7" t="str">
        <f>IF(Source!J55="","",ROUND(IF(UPPER(Source!M55)="W",-1,1)*(N(Source!J55)+N(Source!K55)/60+N(Source!L55)/3600),7))</f>
        <v/>
      </c>
      <c r="F55" s="7" t="str">
        <f>SUBSTITUTE(TRIM(Source!N55&amp;" "&amp;Source!O55&amp;" "&amp;Source!P55)," ","/")</f>
        <v/>
      </c>
      <c r="G55" s="7" t="str">
        <f>IF(Source!Q55="","",Source!Q55)</f>
        <v/>
      </c>
      <c r="H55" s="7" t="str">
        <f>IF(Source!R55="","",Source!R55)</f>
        <v/>
      </c>
      <c r="I55" s="7" t="str">
        <f>IF(Source!S55&lt;&gt;"",Source!S55,IF(Source!C55&lt;&gt;"",Source!C55,""))</f>
        <v/>
      </c>
      <c r="J55" s="7" t="str">
        <f>TRIM(Source!T55&amp;" "&amp;Source!U55&amp;" "&amp;IF(Source!V55="","",Source!V55&amp;"s")&amp;" "&amp;IF(Source!W55="","",Source!W55&amp;"M"))</f>
        <v/>
      </c>
      <c r="K55" s="7" t="str">
        <f>IF(Source!X55="","",Source!X55)</f>
        <v/>
      </c>
      <c r="L55" s="7" t="str">
        <f>IF(Source!Y55="","",Source!Y55)</f>
        <v/>
      </c>
      <c r="M55" s="7" t="str">
        <f>IF(Source!Z55="","",Source!Z55)</f>
        <v/>
      </c>
      <c r="N55" s="7" t="str">
        <f>IF(Source!AA55="","",Source!AA55)</f>
        <v/>
      </c>
      <c r="O55" s="7" t="str">
        <f>IF(Source!AB55="","",Source!AB55)</f>
        <v/>
      </c>
      <c r="P55" s="7" t="str">
        <f>IF(Source!AC55="","",Source!AC55)</f>
        <v/>
      </c>
      <c r="Q55" s="7" t="str">
        <f>IF(Source!AD55="","",TEXT(Source!AD55,"000000000"))</f>
        <v/>
      </c>
      <c r="R55" s="7" t="str">
        <f>IF(Source!AE55="","","physical AIS type "&amp;Source!AE55)</f>
        <v/>
      </c>
      <c r="S55" s="7" t="str">
        <f>IF(Source!AF55="","",IF(LEN(Source!AF55)=1,UPPER(Source!AF55),"yes"))</f>
        <v/>
      </c>
      <c r="T55" s="7" t="str">
        <f>IF(Source!AG55="","",Source!AG55)</f>
        <v/>
      </c>
      <c r="U55" s="7" t="str">
        <f>IF(Source!AH55="","",YEAR(Source!AH55)&amp;"-"&amp;TEXT(MONTH(Source!AH55),"00")&amp;"-"&amp;TEXT(DAY(Source!AH55),"00"))</f>
        <v/>
      </c>
      <c r="V55" s="7" t="str">
        <f>IF(Source!AI55="","",IF(OR(UPPER(Source!AI55)="YES",UPPER(Source!AI55)="Y"),"visually conspicuous",IF(OR(UPPER(Source!AI55)="NO",UPPER(Source!AI55)="N"),"not visually conspicuous",Source!AI55)))</f>
        <v/>
      </c>
      <c r="W55" s="7" t="str">
        <f>IF(Source!AJ55="","",Source!AJ55)</f>
        <v/>
      </c>
    </row>
    <row r="56">
      <c r="A56" s="7" t="str">
        <f>IF(Source!A56="","",Source!A56&amp;"")</f>
        <v/>
      </c>
      <c r="B56" s="7" t="str">
        <f>TRIM(Source!C56&amp;" "&amp;Source!B56&amp;" "&amp;Source!D56)</f>
        <v/>
      </c>
      <c r="C56" s="7" t="str">
        <f>IF(Source!E56="","",Source!E56)</f>
        <v/>
      </c>
      <c r="D56" s="7" t="str">
        <f>IF(Source!F56="","",ROUND(IF(UPPER(Source!I56)="S",-1,1)*(N(Source!F56)+N(Source!G56)/60+N(Source!H56)/3600),7))</f>
        <v/>
      </c>
      <c r="E56" s="7" t="str">
        <f>IF(Source!J56="","",ROUND(IF(UPPER(Source!M56)="W",-1,1)*(N(Source!J56)+N(Source!K56)/60+N(Source!L56)/3600),7))</f>
        <v/>
      </c>
      <c r="F56" s="7" t="str">
        <f>SUBSTITUTE(TRIM(Source!N56&amp;" "&amp;Source!O56&amp;" "&amp;Source!P56)," ","/")</f>
        <v/>
      </c>
      <c r="G56" s="7" t="str">
        <f>IF(Source!Q56="","",Source!Q56)</f>
        <v/>
      </c>
      <c r="H56" s="7" t="str">
        <f>IF(Source!R56="","",Source!R56)</f>
        <v/>
      </c>
      <c r="I56" s="7" t="str">
        <f>IF(Source!S56&lt;&gt;"",Source!S56,IF(Source!C56&lt;&gt;"",Source!C56,""))</f>
        <v/>
      </c>
      <c r="J56" s="7" t="str">
        <f>TRIM(Source!T56&amp;" "&amp;Source!U56&amp;" "&amp;IF(Source!V56="","",Source!V56&amp;"s")&amp;" "&amp;IF(Source!W56="","",Source!W56&amp;"M"))</f>
        <v/>
      </c>
      <c r="K56" s="7" t="str">
        <f>IF(Source!X56="","",Source!X56)</f>
        <v/>
      </c>
      <c r="L56" s="7" t="str">
        <f>IF(Source!Y56="","",Source!Y56)</f>
        <v/>
      </c>
      <c r="M56" s="7" t="str">
        <f>IF(Source!Z56="","",Source!Z56)</f>
        <v/>
      </c>
      <c r="N56" s="7" t="str">
        <f>IF(Source!AA56="","",Source!AA56)</f>
        <v/>
      </c>
      <c r="O56" s="7" t="str">
        <f>IF(Source!AB56="","",Source!AB56)</f>
        <v/>
      </c>
      <c r="P56" s="7" t="str">
        <f>IF(Source!AC56="","",Source!AC56)</f>
        <v/>
      </c>
      <c r="Q56" s="7" t="str">
        <f>IF(Source!AD56="","",TEXT(Source!AD56,"000000000"))</f>
        <v/>
      </c>
      <c r="R56" s="7" t="str">
        <f>IF(Source!AE56="","","physical AIS type "&amp;Source!AE56)</f>
        <v/>
      </c>
      <c r="S56" s="7" t="str">
        <f>IF(Source!AF56="","",IF(LEN(Source!AF56)=1,UPPER(Source!AF56),"yes"))</f>
        <v/>
      </c>
      <c r="T56" s="7" t="str">
        <f>IF(Source!AG56="","",Source!AG56)</f>
        <v/>
      </c>
      <c r="U56" s="7" t="str">
        <f>IF(Source!AH56="","",YEAR(Source!AH56)&amp;"-"&amp;TEXT(MONTH(Source!AH56),"00")&amp;"-"&amp;TEXT(DAY(Source!AH56),"00"))</f>
        <v/>
      </c>
      <c r="V56" s="7" t="str">
        <f>IF(Source!AI56="","",IF(OR(UPPER(Source!AI56)="YES",UPPER(Source!AI56)="Y"),"visually conspicuous",IF(OR(UPPER(Source!AI56)="NO",UPPER(Source!AI56)="N"),"not visually conspicuous",Source!AI56)))</f>
        <v/>
      </c>
      <c r="W56" s="7" t="str">
        <f>IF(Source!AJ56="","",Source!AJ56)</f>
        <v/>
      </c>
    </row>
    <row r="57">
      <c r="A57" s="7" t="str">
        <f>IF(Source!A57="","",Source!A57&amp;"")</f>
        <v/>
      </c>
      <c r="B57" s="7" t="str">
        <f>TRIM(Source!C57&amp;" "&amp;Source!B57&amp;" "&amp;Source!D57)</f>
        <v/>
      </c>
      <c r="C57" s="7" t="str">
        <f>IF(Source!E57="","",Source!E57)</f>
        <v/>
      </c>
      <c r="D57" s="7" t="str">
        <f>IF(Source!F57="","",ROUND(IF(UPPER(Source!I57)="S",-1,1)*(N(Source!F57)+N(Source!G57)/60+N(Source!H57)/3600),7))</f>
        <v/>
      </c>
      <c r="E57" s="7" t="str">
        <f>IF(Source!J57="","",ROUND(IF(UPPER(Source!M57)="W",-1,1)*(N(Source!J57)+N(Source!K57)/60+N(Source!L57)/3600),7))</f>
        <v/>
      </c>
      <c r="F57" s="7" t="str">
        <f>SUBSTITUTE(TRIM(Source!N57&amp;" "&amp;Source!O57&amp;" "&amp;Source!P57)," ","/")</f>
        <v/>
      </c>
      <c r="G57" s="7" t="str">
        <f>IF(Source!Q57="","",Source!Q57)</f>
        <v/>
      </c>
      <c r="H57" s="7" t="str">
        <f>IF(Source!R57="","",Source!R57)</f>
        <v/>
      </c>
      <c r="I57" s="7" t="str">
        <f>IF(Source!S57&lt;&gt;"",Source!S57,IF(Source!C57&lt;&gt;"",Source!C57,""))</f>
        <v/>
      </c>
      <c r="J57" s="7" t="str">
        <f>TRIM(Source!T57&amp;" "&amp;Source!U57&amp;" "&amp;IF(Source!V57="","",Source!V57&amp;"s")&amp;" "&amp;IF(Source!W57="","",Source!W57&amp;"M"))</f>
        <v/>
      </c>
      <c r="K57" s="7" t="str">
        <f>IF(Source!X57="","",Source!X57)</f>
        <v/>
      </c>
      <c r="L57" s="7" t="str">
        <f>IF(Source!Y57="","",Source!Y57)</f>
        <v/>
      </c>
      <c r="M57" s="7" t="str">
        <f>IF(Source!Z57="","",Source!Z57)</f>
        <v/>
      </c>
      <c r="N57" s="7" t="str">
        <f>IF(Source!AA57="","",Source!AA57)</f>
        <v/>
      </c>
      <c r="O57" s="7" t="str">
        <f>IF(Source!AB57="","",Source!AB57)</f>
        <v/>
      </c>
      <c r="P57" s="7" t="str">
        <f>IF(Source!AC57="","",Source!AC57)</f>
        <v/>
      </c>
      <c r="Q57" s="7" t="str">
        <f>IF(Source!AD57="","",TEXT(Source!AD57,"000000000"))</f>
        <v/>
      </c>
      <c r="R57" s="7" t="str">
        <f>IF(Source!AE57="","","physical AIS type "&amp;Source!AE57)</f>
        <v/>
      </c>
      <c r="S57" s="7" t="str">
        <f>IF(Source!AF57="","",IF(LEN(Source!AF57)=1,UPPER(Source!AF57),"yes"))</f>
        <v/>
      </c>
      <c r="T57" s="7" t="str">
        <f>IF(Source!AG57="","",Source!AG57)</f>
        <v/>
      </c>
      <c r="U57" s="7" t="str">
        <f>IF(Source!AH57="","",YEAR(Source!AH57)&amp;"-"&amp;TEXT(MONTH(Source!AH57),"00")&amp;"-"&amp;TEXT(DAY(Source!AH57),"00"))</f>
        <v/>
      </c>
      <c r="V57" s="7" t="str">
        <f>IF(Source!AI57="","",IF(OR(UPPER(Source!AI57)="YES",UPPER(Source!AI57)="Y"),"visually conspicuous",IF(OR(UPPER(Source!AI57)="NO",UPPER(Source!AI57)="N"),"not visually conspicuous",Source!AI57)))</f>
        <v/>
      </c>
      <c r="W57" s="7" t="str">
        <f>IF(Source!AJ57="","",Source!AJ57)</f>
        <v/>
      </c>
    </row>
    <row r="58">
      <c r="A58" s="7" t="str">
        <f>IF(Source!A58="","",Source!A58&amp;"")</f>
        <v/>
      </c>
      <c r="B58" s="7" t="str">
        <f>TRIM(Source!C58&amp;" "&amp;Source!B58&amp;" "&amp;Source!D58)</f>
        <v/>
      </c>
      <c r="C58" s="7" t="str">
        <f>IF(Source!E58="","",Source!E58)</f>
        <v/>
      </c>
      <c r="D58" s="7" t="str">
        <f>IF(Source!F58="","",ROUND(IF(UPPER(Source!I58)="S",-1,1)*(N(Source!F58)+N(Source!G58)/60+N(Source!H58)/3600),7))</f>
        <v/>
      </c>
      <c r="E58" s="7" t="str">
        <f>IF(Source!J58="","",ROUND(IF(UPPER(Source!M58)="W",-1,1)*(N(Source!J58)+N(Source!K58)/60+N(Source!L58)/3600),7))</f>
        <v/>
      </c>
      <c r="F58" s="7" t="str">
        <f>SUBSTITUTE(TRIM(Source!N58&amp;" "&amp;Source!O58&amp;" "&amp;Source!P58)," ","/")</f>
        <v/>
      </c>
      <c r="G58" s="7" t="str">
        <f>IF(Source!Q58="","",Source!Q58)</f>
        <v/>
      </c>
      <c r="H58" s="7" t="str">
        <f>IF(Source!R58="","",Source!R58)</f>
        <v/>
      </c>
      <c r="I58" s="7" t="str">
        <f>IF(Source!S58&lt;&gt;"",Source!S58,IF(Source!C58&lt;&gt;"",Source!C58,""))</f>
        <v/>
      </c>
      <c r="J58" s="7" t="str">
        <f>TRIM(Source!T58&amp;" "&amp;Source!U58&amp;" "&amp;IF(Source!V58="","",Source!V58&amp;"s")&amp;" "&amp;IF(Source!W58="","",Source!W58&amp;"M"))</f>
        <v/>
      </c>
      <c r="K58" s="7" t="str">
        <f>IF(Source!X58="","",Source!X58)</f>
        <v/>
      </c>
      <c r="L58" s="7" t="str">
        <f>IF(Source!Y58="","",Source!Y58)</f>
        <v/>
      </c>
      <c r="M58" s="7" t="str">
        <f>IF(Source!Z58="","",Source!Z58)</f>
        <v/>
      </c>
      <c r="N58" s="7" t="str">
        <f>IF(Source!AA58="","",Source!AA58)</f>
        <v/>
      </c>
      <c r="O58" s="7" t="str">
        <f>IF(Source!AB58="","",Source!AB58)</f>
        <v/>
      </c>
      <c r="P58" s="7" t="str">
        <f>IF(Source!AC58="","",Source!AC58)</f>
        <v/>
      </c>
      <c r="Q58" s="7" t="str">
        <f>IF(Source!AD58="","",TEXT(Source!AD58,"000000000"))</f>
        <v/>
      </c>
      <c r="R58" s="7" t="str">
        <f>IF(Source!AE58="","","physical AIS type "&amp;Source!AE58)</f>
        <v/>
      </c>
      <c r="S58" s="7" t="str">
        <f>IF(Source!AF58="","",IF(LEN(Source!AF58)=1,UPPER(Source!AF58),"yes"))</f>
        <v/>
      </c>
      <c r="T58" s="7" t="str">
        <f>IF(Source!AG58="","",Source!AG58)</f>
        <v/>
      </c>
      <c r="U58" s="7" t="str">
        <f>IF(Source!AH58="","",YEAR(Source!AH58)&amp;"-"&amp;TEXT(MONTH(Source!AH58),"00")&amp;"-"&amp;TEXT(DAY(Source!AH58),"00"))</f>
        <v/>
      </c>
      <c r="V58" s="7" t="str">
        <f>IF(Source!AI58="","",IF(OR(UPPER(Source!AI58)="YES",UPPER(Source!AI58)="Y"),"visually conspicuous",IF(OR(UPPER(Source!AI58)="NO",UPPER(Source!AI58)="N"),"not visually conspicuous",Source!AI58)))</f>
        <v/>
      </c>
      <c r="W58" s="7" t="str">
        <f>IF(Source!AJ58="","",Source!AJ58)</f>
        <v/>
      </c>
    </row>
    <row r="59">
      <c r="A59" s="7" t="str">
        <f>IF(Source!A59="","",Source!A59&amp;"")</f>
        <v/>
      </c>
      <c r="B59" s="7" t="str">
        <f>TRIM(Source!C59&amp;" "&amp;Source!B59&amp;" "&amp;Source!D59)</f>
        <v/>
      </c>
      <c r="C59" s="7" t="str">
        <f>IF(Source!E59="","",Source!E59)</f>
        <v/>
      </c>
      <c r="D59" s="7" t="str">
        <f>IF(Source!F59="","",ROUND(IF(UPPER(Source!I59)="S",-1,1)*(N(Source!F59)+N(Source!G59)/60+N(Source!H59)/3600),7))</f>
        <v/>
      </c>
      <c r="E59" s="7" t="str">
        <f>IF(Source!J59="","",ROUND(IF(UPPER(Source!M59)="W",-1,1)*(N(Source!J59)+N(Source!K59)/60+N(Source!L59)/3600),7))</f>
        <v/>
      </c>
      <c r="F59" s="7" t="str">
        <f>SUBSTITUTE(TRIM(Source!N59&amp;" "&amp;Source!O59&amp;" "&amp;Source!P59)," ","/")</f>
        <v/>
      </c>
      <c r="G59" s="7" t="str">
        <f>IF(Source!Q59="","",Source!Q59)</f>
        <v/>
      </c>
      <c r="H59" s="7" t="str">
        <f>IF(Source!R59="","",Source!R59)</f>
        <v/>
      </c>
      <c r="I59" s="7" t="str">
        <f>IF(Source!S59&lt;&gt;"",Source!S59,IF(Source!C59&lt;&gt;"",Source!C59,""))</f>
        <v/>
      </c>
      <c r="J59" s="7" t="str">
        <f>TRIM(Source!T59&amp;" "&amp;Source!U59&amp;" "&amp;IF(Source!V59="","",Source!V59&amp;"s")&amp;" "&amp;IF(Source!W59="","",Source!W59&amp;"M"))</f>
        <v/>
      </c>
      <c r="K59" s="7" t="str">
        <f>IF(Source!X59="","",Source!X59)</f>
        <v/>
      </c>
      <c r="L59" s="7" t="str">
        <f>IF(Source!Y59="","",Source!Y59)</f>
        <v/>
      </c>
      <c r="M59" s="7" t="str">
        <f>IF(Source!Z59="","",Source!Z59)</f>
        <v/>
      </c>
      <c r="N59" s="7" t="str">
        <f>IF(Source!AA59="","",Source!AA59)</f>
        <v/>
      </c>
      <c r="O59" s="7" t="str">
        <f>IF(Source!AB59="","",Source!AB59)</f>
        <v/>
      </c>
      <c r="P59" s="7" t="str">
        <f>IF(Source!AC59="","",Source!AC59)</f>
        <v/>
      </c>
      <c r="Q59" s="7" t="str">
        <f>IF(Source!AD59="","",TEXT(Source!AD59,"000000000"))</f>
        <v/>
      </c>
      <c r="R59" s="7" t="str">
        <f>IF(Source!AE59="","","physical AIS type "&amp;Source!AE59)</f>
        <v/>
      </c>
      <c r="S59" s="7" t="str">
        <f>IF(Source!AF59="","",IF(LEN(Source!AF59)=1,UPPER(Source!AF59),"yes"))</f>
        <v/>
      </c>
      <c r="T59" s="7" t="str">
        <f>IF(Source!AG59="","",Source!AG59)</f>
        <v/>
      </c>
      <c r="U59" s="7" t="str">
        <f>IF(Source!AH59="","",YEAR(Source!AH59)&amp;"-"&amp;TEXT(MONTH(Source!AH59),"00")&amp;"-"&amp;TEXT(DAY(Source!AH59),"00"))</f>
        <v/>
      </c>
      <c r="V59" s="7" t="str">
        <f>IF(Source!AI59="","",IF(OR(UPPER(Source!AI59)="YES",UPPER(Source!AI59)="Y"),"visually conspicuous",IF(OR(UPPER(Source!AI59)="NO",UPPER(Source!AI59)="N"),"not visually conspicuous",Source!AI59)))</f>
        <v/>
      </c>
      <c r="W59" s="7" t="str">
        <f>IF(Source!AJ59="","",Source!AJ59)</f>
        <v/>
      </c>
    </row>
    <row r="60">
      <c r="A60" s="7" t="str">
        <f>IF(Source!A60="","",Source!A60&amp;"")</f>
        <v/>
      </c>
      <c r="B60" s="7" t="str">
        <f>TRIM(Source!C60&amp;" "&amp;Source!B60&amp;" "&amp;Source!D60)</f>
        <v/>
      </c>
      <c r="C60" s="7" t="str">
        <f>IF(Source!E60="","",Source!E60)</f>
        <v/>
      </c>
      <c r="D60" s="7" t="str">
        <f>IF(Source!F60="","",ROUND(IF(UPPER(Source!I60)="S",-1,1)*(N(Source!F60)+N(Source!G60)/60+N(Source!H60)/3600),7))</f>
        <v/>
      </c>
      <c r="E60" s="7" t="str">
        <f>IF(Source!J60="","",ROUND(IF(UPPER(Source!M60)="W",-1,1)*(N(Source!J60)+N(Source!K60)/60+N(Source!L60)/3600),7))</f>
        <v/>
      </c>
      <c r="F60" s="7" t="str">
        <f>SUBSTITUTE(TRIM(Source!N60&amp;" "&amp;Source!O60&amp;" "&amp;Source!P60)," ","/")</f>
        <v/>
      </c>
      <c r="G60" s="7" t="str">
        <f>IF(Source!Q60="","",Source!Q60)</f>
        <v/>
      </c>
      <c r="H60" s="7" t="str">
        <f>IF(Source!R60="","",Source!R60)</f>
        <v/>
      </c>
      <c r="I60" s="7" t="str">
        <f>IF(Source!S60&lt;&gt;"",Source!S60,IF(Source!C60&lt;&gt;"",Source!C60,""))</f>
        <v/>
      </c>
      <c r="J60" s="7" t="str">
        <f>TRIM(Source!T60&amp;" "&amp;Source!U60&amp;" "&amp;IF(Source!V60="","",Source!V60&amp;"s")&amp;" "&amp;IF(Source!W60="","",Source!W60&amp;"M"))</f>
        <v/>
      </c>
      <c r="K60" s="7" t="str">
        <f>IF(Source!X60="","",Source!X60)</f>
        <v/>
      </c>
      <c r="L60" s="7" t="str">
        <f>IF(Source!Y60="","",Source!Y60)</f>
        <v/>
      </c>
      <c r="M60" s="7" t="str">
        <f>IF(Source!Z60="","",Source!Z60)</f>
        <v/>
      </c>
      <c r="N60" s="7" t="str">
        <f>IF(Source!AA60="","",Source!AA60)</f>
        <v/>
      </c>
      <c r="O60" s="7" t="str">
        <f>IF(Source!AB60="","",Source!AB60)</f>
        <v/>
      </c>
      <c r="P60" s="7" t="str">
        <f>IF(Source!AC60="","",Source!AC60)</f>
        <v/>
      </c>
      <c r="Q60" s="7" t="str">
        <f>IF(Source!AD60="","",TEXT(Source!AD60,"000000000"))</f>
        <v/>
      </c>
      <c r="R60" s="7" t="str">
        <f>IF(Source!AE60="","","physical AIS type "&amp;Source!AE60)</f>
        <v/>
      </c>
      <c r="S60" s="7" t="str">
        <f>IF(Source!AF60="","",IF(LEN(Source!AF60)=1,UPPER(Source!AF60),"yes"))</f>
        <v/>
      </c>
      <c r="T60" s="7" t="str">
        <f>IF(Source!AG60="","",Source!AG60)</f>
        <v/>
      </c>
      <c r="U60" s="7" t="str">
        <f>IF(Source!AH60="","",YEAR(Source!AH60)&amp;"-"&amp;TEXT(MONTH(Source!AH60),"00")&amp;"-"&amp;TEXT(DAY(Source!AH60),"00"))</f>
        <v/>
      </c>
      <c r="V60" s="7" t="str">
        <f>IF(Source!AI60="","",IF(OR(UPPER(Source!AI60)="YES",UPPER(Source!AI60)="Y"),"visually conspicuous",IF(OR(UPPER(Source!AI60)="NO",UPPER(Source!AI60)="N"),"not visually conspicuous",Source!AI60)))</f>
        <v/>
      </c>
      <c r="W60" s="7" t="str">
        <f>IF(Source!AJ60="","",Source!AJ60)</f>
        <v/>
      </c>
    </row>
    <row r="61">
      <c r="A61" s="7" t="str">
        <f>IF(Source!A61="","",Source!A61&amp;"")</f>
        <v/>
      </c>
      <c r="B61" s="7" t="str">
        <f>TRIM(Source!C61&amp;" "&amp;Source!B61&amp;" "&amp;Source!D61)</f>
        <v/>
      </c>
      <c r="C61" s="7" t="str">
        <f>IF(Source!E61="","",Source!E61)</f>
        <v/>
      </c>
      <c r="D61" s="7" t="str">
        <f>IF(Source!F61="","",ROUND(IF(UPPER(Source!I61)="S",-1,1)*(N(Source!F61)+N(Source!G61)/60+N(Source!H61)/3600),7))</f>
        <v/>
      </c>
      <c r="E61" s="7" t="str">
        <f>IF(Source!J61="","",ROUND(IF(UPPER(Source!M61)="W",-1,1)*(N(Source!J61)+N(Source!K61)/60+N(Source!L61)/3600),7))</f>
        <v/>
      </c>
      <c r="F61" s="7" t="str">
        <f>SUBSTITUTE(TRIM(Source!N61&amp;" "&amp;Source!O61&amp;" "&amp;Source!P61)," ","/")</f>
        <v/>
      </c>
      <c r="G61" s="7" t="str">
        <f>IF(Source!Q61="","",Source!Q61)</f>
        <v/>
      </c>
      <c r="H61" s="7" t="str">
        <f>IF(Source!R61="","",Source!R61)</f>
        <v/>
      </c>
      <c r="I61" s="7" t="str">
        <f>IF(Source!S61&lt;&gt;"",Source!S61,IF(Source!C61&lt;&gt;"",Source!C61,""))</f>
        <v/>
      </c>
      <c r="J61" s="7" t="str">
        <f>TRIM(Source!T61&amp;" "&amp;Source!U61&amp;" "&amp;IF(Source!V61="","",Source!V61&amp;"s")&amp;" "&amp;IF(Source!W61="","",Source!W61&amp;"M"))</f>
        <v/>
      </c>
      <c r="K61" s="7" t="str">
        <f>IF(Source!X61="","",Source!X61)</f>
        <v/>
      </c>
      <c r="L61" s="7" t="str">
        <f>IF(Source!Y61="","",Source!Y61)</f>
        <v/>
      </c>
      <c r="M61" s="7" t="str">
        <f>IF(Source!Z61="","",Source!Z61)</f>
        <v/>
      </c>
      <c r="N61" s="7" t="str">
        <f>IF(Source!AA61="","",Source!AA61)</f>
        <v/>
      </c>
      <c r="O61" s="7" t="str">
        <f>IF(Source!AB61="","",Source!AB61)</f>
        <v/>
      </c>
      <c r="P61" s="7" t="str">
        <f>IF(Source!AC61="","",Source!AC61)</f>
        <v/>
      </c>
      <c r="Q61" s="7" t="str">
        <f>IF(Source!AD61="","",TEXT(Source!AD61,"000000000"))</f>
        <v/>
      </c>
      <c r="R61" s="7" t="str">
        <f>IF(Source!AE61="","","physical AIS type "&amp;Source!AE61)</f>
        <v/>
      </c>
      <c r="S61" s="7" t="str">
        <f>IF(Source!AF61="","",IF(LEN(Source!AF61)=1,UPPER(Source!AF61),"yes"))</f>
        <v/>
      </c>
      <c r="T61" s="7" t="str">
        <f>IF(Source!AG61="","",Source!AG61)</f>
        <v/>
      </c>
      <c r="U61" s="7" t="str">
        <f>IF(Source!AH61="","",YEAR(Source!AH61)&amp;"-"&amp;TEXT(MONTH(Source!AH61),"00")&amp;"-"&amp;TEXT(DAY(Source!AH61),"00"))</f>
        <v/>
      </c>
      <c r="V61" s="7" t="str">
        <f>IF(Source!AI61="","",IF(OR(UPPER(Source!AI61)="YES",UPPER(Source!AI61)="Y"),"visually conspicuous",IF(OR(UPPER(Source!AI61)="NO",UPPER(Source!AI61)="N"),"not visually conspicuous",Source!AI61)))</f>
        <v/>
      </c>
      <c r="W61" s="7" t="str">
        <f>IF(Source!AJ61="","",Source!AJ61)</f>
        <v/>
      </c>
    </row>
    <row r="62">
      <c r="A62" s="7" t="str">
        <f>IF(Source!A62="","",Source!A62&amp;"")</f>
        <v/>
      </c>
      <c r="B62" s="7" t="str">
        <f>TRIM(Source!C62&amp;" "&amp;Source!B62&amp;" "&amp;Source!D62)</f>
        <v/>
      </c>
      <c r="C62" s="7" t="str">
        <f>IF(Source!E62="","",Source!E62)</f>
        <v/>
      </c>
      <c r="D62" s="7" t="str">
        <f>IF(Source!F62="","",ROUND(IF(UPPER(Source!I62)="S",-1,1)*(N(Source!F62)+N(Source!G62)/60+N(Source!H62)/3600),7))</f>
        <v/>
      </c>
      <c r="E62" s="7" t="str">
        <f>IF(Source!J62="","",ROUND(IF(UPPER(Source!M62)="W",-1,1)*(N(Source!J62)+N(Source!K62)/60+N(Source!L62)/3600),7))</f>
        <v/>
      </c>
      <c r="F62" s="7" t="str">
        <f>SUBSTITUTE(TRIM(Source!N62&amp;" "&amp;Source!O62&amp;" "&amp;Source!P62)," ","/")</f>
        <v/>
      </c>
      <c r="G62" s="7" t="str">
        <f>IF(Source!Q62="","",Source!Q62)</f>
        <v/>
      </c>
      <c r="H62" s="7" t="str">
        <f>IF(Source!R62="","",Source!R62)</f>
        <v/>
      </c>
      <c r="I62" s="7" t="str">
        <f>IF(Source!S62&lt;&gt;"",Source!S62,IF(Source!C62&lt;&gt;"",Source!C62,""))</f>
        <v/>
      </c>
      <c r="J62" s="7" t="str">
        <f>TRIM(Source!T62&amp;" "&amp;Source!U62&amp;" "&amp;IF(Source!V62="","",Source!V62&amp;"s")&amp;" "&amp;IF(Source!W62="","",Source!W62&amp;"M"))</f>
        <v/>
      </c>
      <c r="K62" s="7" t="str">
        <f>IF(Source!X62="","",Source!X62)</f>
        <v/>
      </c>
      <c r="L62" s="7" t="str">
        <f>IF(Source!Y62="","",Source!Y62)</f>
        <v/>
      </c>
      <c r="M62" s="7" t="str">
        <f>IF(Source!Z62="","",Source!Z62)</f>
        <v/>
      </c>
      <c r="N62" s="7" t="str">
        <f>IF(Source!AA62="","",Source!AA62)</f>
        <v/>
      </c>
      <c r="O62" s="7" t="str">
        <f>IF(Source!AB62="","",Source!AB62)</f>
        <v/>
      </c>
      <c r="P62" s="7" t="str">
        <f>IF(Source!AC62="","",Source!AC62)</f>
        <v/>
      </c>
      <c r="Q62" s="7" t="str">
        <f>IF(Source!AD62="","",TEXT(Source!AD62,"000000000"))</f>
        <v/>
      </c>
      <c r="R62" s="7" t="str">
        <f>IF(Source!AE62="","","physical AIS type "&amp;Source!AE62)</f>
        <v/>
      </c>
      <c r="S62" s="7" t="str">
        <f>IF(Source!AF62="","",IF(LEN(Source!AF62)=1,UPPER(Source!AF62),"yes"))</f>
        <v/>
      </c>
      <c r="T62" s="7" t="str">
        <f>IF(Source!AG62="","",Source!AG62)</f>
        <v/>
      </c>
      <c r="U62" s="7" t="str">
        <f>IF(Source!AH62="","",YEAR(Source!AH62)&amp;"-"&amp;TEXT(MONTH(Source!AH62),"00")&amp;"-"&amp;TEXT(DAY(Source!AH62),"00"))</f>
        <v/>
      </c>
      <c r="V62" s="7" t="str">
        <f>IF(Source!AI62="","",IF(OR(UPPER(Source!AI62)="YES",UPPER(Source!AI62)="Y"),"visually conspicuous",IF(OR(UPPER(Source!AI62)="NO",UPPER(Source!AI62)="N"),"not visually conspicuous",Source!AI62)))</f>
        <v/>
      </c>
      <c r="W62" s="7" t="str">
        <f>IF(Source!AJ62="","",Source!AJ62)</f>
        <v/>
      </c>
    </row>
    <row r="63">
      <c r="A63" s="7" t="str">
        <f>IF(Source!A63="","",Source!A63&amp;"")</f>
        <v/>
      </c>
      <c r="B63" s="7" t="str">
        <f>TRIM(Source!C63&amp;" "&amp;Source!B63&amp;" "&amp;Source!D63)</f>
        <v/>
      </c>
      <c r="C63" s="7" t="str">
        <f>IF(Source!E63="","",Source!E63)</f>
        <v/>
      </c>
      <c r="D63" s="7" t="str">
        <f>IF(Source!F63="","",ROUND(IF(UPPER(Source!I63)="S",-1,1)*(N(Source!F63)+N(Source!G63)/60+N(Source!H63)/3600),7))</f>
        <v/>
      </c>
      <c r="E63" s="7" t="str">
        <f>IF(Source!J63="","",ROUND(IF(UPPER(Source!M63)="W",-1,1)*(N(Source!J63)+N(Source!K63)/60+N(Source!L63)/3600),7))</f>
        <v/>
      </c>
      <c r="F63" s="7" t="str">
        <f>SUBSTITUTE(TRIM(Source!N63&amp;" "&amp;Source!O63&amp;" "&amp;Source!P63)," ","/")</f>
        <v/>
      </c>
      <c r="G63" s="7" t="str">
        <f>IF(Source!Q63="","",Source!Q63)</f>
        <v/>
      </c>
      <c r="H63" s="7" t="str">
        <f>IF(Source!R63="","",Source!R63)</f>
        <v/>
      </c>
      <c r="I63" s="7" t="str">
        <f>IF(Source!S63&lt;&gt;"",Source!S63,IF(Source!C63&lt;&gt;"",Source!C63,""))</f>
        <v/>
      </c>
      <c r="J63" s="7" t="str">
        <f>TRIM(Source!T63&amp;" "&amp;Source!U63&amp;" "&amp;IF(Source!V63="","",Source!V63&amp;"s")&amp;" "&amp;IF(Source!W63="","",Source!W63&amp;"M"))</f>
        <v/>
      </c>
      <c r="K63" s="7" t="str">
        <f>IF(Source!X63="","",Source!X63)</f>
        <v/>
      </c>
      <c r="L63" s="7" t="str">
        <f>IF(Source!Y63="","",Source!Y63)</f>
        <v/>
      </c>
      <c r="M63" s="7" t="str">
        <f>IF(Source!Z63="","",Source!Z63)</f>
        <v/>
      </c>
      <c r="N63" s="7" t="str">
        <f>IF(Source!AA63="","",Source!AA63)</f>
        <v/>
      </c>
      <c r="O63" s="7" t="str">
        <f>IF(Source!AB63="","",Source!AB63)</f>
        <v/>
      </c>
      <c r="P63" s="7" t="str">
        <f>IF(Source!AC63="","",Source!AC63)</f>
        <v/>
      </c>
      <c r="Q63" s="7" t="str">
        <f>IF(Source!AD63="","",TEXT(Source!AD63,"000000000"))</f>
        <v/>
      </c>
      <c r="R63" s="7" t="str">
        <f>IF(Source!AE63="","","physical AIS type "&amp;Source!AE63)</f>
        <v/>
      </c>
      <c r="S63" s="7" t="str">
        <f>IF(Source!AF63="","",IF(LEN(Source!AF63)=1,UPPER(Source!AF63),"yes"))</f>
        <v/>
      </c>
      <c r="T63" s="7" t="str">
        <f>IF(Source!AG63="","",Source!AG63)</f>
        <v/>
      </c>
      <c r="U63" s="7" t="str">
        <f>IF(Source!AH63="","",YEAR(Source!AH63)&amp;"-"&amp;TEXT(MONTH(Source!AH63),"00")&amp;"-"&amp;TEXT(DAY(Source!AH63),"00"))</f>
        <v/>
      </c>
      <c r="V63" s="7" t="str">
        <f>IF(Source!AI63="","",IF(OR(UPPER(Source!AI63)="YES",UPPER(Source!AI63)="Y"),"visually conspicuous",IF(OR(UPPER(Source!AI63)="NO",UPPER(Source!AI63)="N"),"not visually conspicuous",Source!AI63)))</f>
        <v/>
      </c>
      <c r="W63" s="7" t="str">
        <f>IF(Source!AJ63="","",Source!AJ63)</f>
        <v/>
      </c>
    </row>
    <row r="64">
      <c r="A64" s="7" t="str">
        <f>IF(Source!A64="","",Source!A64&amp;"")</f>
        <v/>
      </c>
      <c r="B64" s="7" t="str">
        <f>TRIM(Source!C64&amp;" "&amp;Source!B64&amp;" "&amp;Source!D64)</f>
        <v/>
      </c>
      <c r="C64" s="7" t="str">
        <f>IF(Source!E64="","",Source!E64)</f>
        <v/>
      </c>
      <c r="D64" s="7" t="str">
        <f>IF(Source!F64="","",ROUND(IF(UPPER(Source!I64)="S",-1,1)*(N(Source!F64)+N(Source!G64)/60+N(Source!H64)/3600),7))</f>
        <v/>
      </c>
      <c r="E64" s="7" t="str">
        <f>IF(Source!J64="","",ROUND(IF(UPPER(Source!M64)="W",-1,1)*(N(Source!J64)+N(Source!K64)/60+N(Source!L64)/3600),7))</f>
        <v/>
      </c>
      <c r="F64" s="7" t="str">
        <f>SUBSTITUTE(TRIM(Source!N64&amp;" "&amp;Source!O64&amp;" "&amp;Source!P64)," ","/")</f>
        <v/>
      </c>
      <c r="G64" s="7" t="str">
        <f>IF(Source!Q64="","",Source!Q64)</f>
        <v/>
      </c>
      <c r="H64" s="7" t="str">
        <f>IF(Source!R64="","",Source!R64)</f>
        <v/>
      </c>
      <c r="I64" s="7" t="str">
        <f>IF(Source!S64&lt;&gt;"",Source!S64,IF(Source!C64&lt;&gt;"",Source!C64,""))</f>
        <v/>
      </c>
      <c r="J64" s="7" t="str">
        <f>TRIM(Source!T64&amp;" "&amp;Source!U64&amp;" "&amp;IF(Source!V64="","",Source!V64&amp;"s")&amp;" "&amp;IF(Source!W64="","",Source!W64&amp;"M"))</f>
        <v/>
      </c>
      <c r="K64" s="7" t="str">
        <f>IF(Source!X64="","",Source!X64)</f>
        <v/>
      </c>
      <c r="L64" s="7" t="str">
        <f>IF(Source!Y64="","",Source!Y64)</f>
        <v/>
      </c>
      <c r="M64" s="7" t="str">
        <f>IF(Source!Z64="","",Source!Z64)</f>
        <v/>
      </c>
      <c r="N64" s="7" t="str">
        <f>IF(Source!AA64="","",Source!AA64)</f>
        <v/>
      </c>
      <c r="O64" s="7" t="str">
        <f>IF(Source!AB64="","",Source!AB64)</f>
        <v/>
      </c>
      <c r="P64" s="7" t="str">
        <f>IF(Source!AC64="","",Source!AC64)</f>
        <v/>
      </c>
      <c r="Q64" s="7" t="str">
        <f>IF(Source!AD64="","",TEXT(Source!AD64,"000000000"))</f>
        <v/>
      </c>
      <c r="R64" s="7" t="str">
        <f>IF(Source!AE64="","","physical AIS type "&amp;Source!AE64)</f>
        <v/>
      </c>
      <c r="S64" s="7" t="str">
        <f>IF(Source!AF64="","",IF(LEN(Source!AF64)=1,UPPER(Source!AF64),"yes"))</f>
        <v/>
      </c>
      <c r="T64" s="7" t="str">
        <f>IF(Source!AG64="","",Source!AG64)</f>
        <v/>
      </c>
      <c r="U64" s="7" t="str">
        <f>IF(Source!AH64="","",YEAR(Source!AH64)&amp;"-"&amp;TEXT(MONTH(Source!AH64),"00")&amp;"-"&amp;TEXT(DAY(Source!AH64),"00"))</f>
        <v/>
      </c>
      <c r="V64" s="7" t="str">
        <f>IF(Source!AI64="","",IF(OR(UPPER(Source!AI64)="YES",UPPER(Source!AI64)="Y"),"visually conspicuous",IF(OR(UPPER(Source!AI64)="NO",UPPER(Source!AI64)="N"),"not visually conspicuous",Source!AI64)))</f>
        <v/>
      </c>
      <c r="W64" s="7" t="str">
        <f>IF(Source!AJ64="","",Source!AJ64)</f>
        <v/>
      </c>
    </row>
    <row r="65">
      <c r="A65" s="7" t="str">
        <f>IF(Source!A65="","",Source!A65&amp;"")</f>
        <v/>
      </c>
      <c r="B65" s="7" t="str">
        <f>TRIM(Source!C65&amp;" "&amp;Source!B65&amp;" "&amp;Source!D65)</f>
        <v/>
      </c>
      <c r="C65" s="7" t="str">
        <f>IF(Source!E65="","",Source!E65)</f>
        <v/>
      </c>
      <c r="D65" s="7" t="str">
        <f>IF(Source!F65="","",ROUND(IF(UPPER(Source!I65)="S",-1,1)*(N(Source!F65)+N(Source!G65)/60+N(Source!H65)/3600),7))</f>
        <v/>
      </c>
      <c r="E65" s="7" t="str">
        <f>IF(Source!J65="","",ROUND(IF(UPPER(Source!M65)="W",-1,1)*(N(Source!J65)+N(Source!K65)/60+N(Source!L65)/3600),7))</f>
        <v/>
      </c>
      <c r="F65" s="7" t="str">
        <f>SUBSTITUTE(TRIM(Source!N65&amp;" "&amp;Source!O65&amp;" "&amp;Source!P65)," ","/")</f>
        <v/>
      </c>
      <c r="G65" s="7" t="str">
        <f>IF(Source!Q65="","",Source!Q65)</f>
        <v/>
      </c>
      <c r="H65" s="7" t="str">
        <f>IF(Source!R65="","",Source!R65)</f>
        <v/>
      </c>
      <c r="I65" s="7" t="str">
        <f>IF(Source!S65&lt;&gt;"",Source!S65,IF(Source!C65&lt;&gt;"",Source!C65,""))</f>
        <v/>
      </c>
      <c r="J65" s="7" t="str">
        <f>TRIM(Source!T65&amp;" "&amp;Source!U65&amp;" "&amp;IF(Source!V65="","",Source!V65&amp;"s")&amp;" "&amp;IF(Source!W65="","",Source!W65&amp;"M"))</f>
        <v/>
      </c>
      <c r="K65" s="7" t="str">
        <f>IF(Source!X65="","",Source!X65)</f>
        <v/>
      </c>
      <c r="L65" s="7" t="str">
        <f>IF(Source!Y65="","",Source!Y65)</f>
        <v/>
      </c>
      <c r="M65" s="7" t="str">
        <f>IF(Source!Z65="","",Source!Z65)</f>
        <v/>
      </c>
      <c r="N65" s="7" t="str">
        <f>IF(Source!AA65="","",Source!AA65)</f>
        <v/>
      </c>
      <c r="O65" s="7" t="str">
        <f>IF(Source!AB65="","",Source!AB65)</f>
        <v/>
      </c>
      <c r="P65" s="7" t="str">
        <f>IF(Source!AC65="","",Source!AC65)</f>
        <v/>
      </c>
      <c r="Q65" s="7" t="str">
        <f>IF(Source!AD65="","",TEXT(Source!AD65,"000000000"))</f>
        <v/>
      </c>
      <c r="R65" s="7" t="str">
        <f>IF(Source!AE65="","","physical AIS type "&amp;Source!AE65)</f>
        <v/>
      </c>
      <c r="S65" s="7" t="str">
        <f>IF(Source!AF65="","",IF(LEN(Source!AF65)=1,UPPER(Source!AF65),"yes"))</f>
        <v/>
      </c>
      <c r="T65" s="7" t="str">
        <f>IF(Source!AG65="","",Source!AG65)</f>
        <v/>
      </c>
      <c r="U65" s="7" t="str">
        <f>IF(Source!AH65="","",YEAR(Source!AH65)&amp;"-"&amp;TEXT(MONTH(Source!AH65),"00")&amp;"-"&amp;TEXT(DAY(Source!AH65),"00"))</f>
        <v/>
      </c>
      <c r="V65" s="7" t="str">
        <f>IF(Source!AI65="","",IF(OR(UPPER(Source!AI65)="YES",UPPER(Source!AI65)="Y"),"visually conspicuous",IF(OR(UPPER(Source!AI65)="NO",UPPER(Source!AI65)="N"),"not visually conspicuous",Source!AI65)))</f>
        <v/>
      </c>
      <c r="W65" s="7" t="str">
        <f>IF(Source!AJ65="","",Source!AJ65)</f>
        <v/>
      </c>
    </row>
    <row r="66">
      <c r="A66" s="7" t="str">
        <f>IF(Source!A66="","",Source!A66&amp;"")</f>
        <v/>
      </c>
      <c r="B66" s="7" t="str">
        <f>TRIM(Source!C66&amp;" "&amp;Source!B66&amp;" "&amp;Source!D66)</f>
        <v/>
      </c>
      <c r="C66" s="7" t="str">
        <f>IF(Source!E66="","",Source!E66)</f>
        <v/>
      </c>
      <c r="D66" s="7" t="str">
        <f>IF(Source!F66="","",ROUND(IF(UPPER(Source!I66)="S",-1,1)*(N(Source!F66)+N(Source!G66)/60+N(Source!H66)/3600),7))</f>
        <v/>
      </c>
      <c r="E66" s="7" t="str">
        <f>IF(Source!J66="","",ROUND(IF(UPPER(Source!M66)="W",-1,1)*(N(Source!J66)+N(Source!K66)/60+N(Source!L66)/3600),7))</f>
        <v/>
      </c>
      <c r="F66" s="7" t="str">
        <f>SUBSTITUTE(TRIM(Source!N66&amp;" "&amp;Source!O66&amp;" "&amp;Source!P66)," ","/")</f>
        <v/>
      </c>
      <c r="G66" s="7" t="str">
        <f>IF(Source!Q66="","",Source!Q66)</f>
        <v/>
      </c>
      <c r="H66" s="7" t="str">
        <f>IF(Source!R66="","",Source!R66)</f>
        <v/>
      </c>
      <c r="I66" s="7" t="str">
        <f>IF(Source!S66&lt;&gt;"",Source!S66,IF(Source!C66&lt;&gt;"",Source!C66,""))</f>
        <v/>
      </c>
      <c r="J66" s="7" t="str">
        <f>TRIM(Source!T66&amp;" "&amp;Source!U66&amp;" "&amp;IF(Source!V66="","",Source!V66&amp;"s")&amp;" "&amp;IF(Source!W66="","",Source!W66&amp;"M"))</f>
        <v/>
      </c>
      <c r="K66" s="7" t="str">
        <f>IF(Source!X66="","",Source!X66)</f>
        <v/>
      </c>
      <c r="L66" s="7" t="str">
        <f>IF(Source!Y66="","",Source!Y66)</f>
        <v/>
      </c>
      <c r="M66" s="7" t="str">
        <f>IF(Source!Z66="","",Source!Z66)</f>
        <v/>
      </c>
      <c r="N66" s="7" t="str">
        <f>IF(Source!AA66="","",Source!AA66)</f>
        <v/>
      </c>
      <c r="O66" s="7" t="str">
        <f>IF(Source!AB66="","",Source!AB66)</f>
        <v/>
      </c>
      <c r="P66" s="7" t="str">
        <f>IF(Source!AC66="","",Source!AC66)</f>
        <v/>
      </c>
      <c r="Q66" s="7" t="str">
        <f>IF(Source!AD66="","",TEXT(Source!AD66,"000000000"))</f>
        <v/>
      </c>
      <c r="R66" s="7" t="str">
        <f>IF(Source!AE66="","","physical AIS type "&amp;Source!AE66)</f>
        <v/>
      </c>
      <c r="S66" s="7" t="str">
        <f>IF(Source!AF66="","",IF(LEN(Source!AF66)=1,UPPER(Source!AF66),"yes"))</f>
        <v/>
      </c>
      <c r="T66" s="7" t="str">
        <f>IF(Source!AG66="","",Source!AG66)</f>
        <v/>
      </c>
      <c r="U66" s="7" t="str">
        <f>IF(Source!AH66="","",YEAR(Source!AH66)&amp;"-"&amp;TEXT(MONTH(Source!AH66),"00")&amp;"-"&amp;TEXT(DAY(Source!AH66),"00"))</f>
        <v/>
      </c>
      <c r="V66" s="7" t="str">
        <f>IF(Source!AI66="","",IF(OR(UPPER(Source!AI66)="YES",UPPER(Source!AI66)="Y"),"visually conspicuous",IF(OR(UPPER(Source!AI66)="NO",UPPER(Source!AI66)="N"),"not visually conspicuous",Source!AI66)))</f>
        <v/>
      </c>
      <c r="W66" s="7" t="str">
        <f>IF(Source!AJ66="","",Source!AJ66)</f>
        <v/>
      </c>
    </row>
    <row r="67">
      <c r="A67" s="7" t="str">
        <f>IF(Source!A67="","",Source!A67&amp;"")</f>
        <v/>
      </c>
      <c r="B67" s="7" t="str">
        <f>TRIM(Source!C67&amp;" "&amp;Source!B67&amp;" "&amp;Source!D67)</f>
        <v/>
      </c>
      <c r="C67" s="7" t="str">
        <f>IF(Source!E67="","",Source!E67)</f>
        <v/>
      </c>
      <c r="D67" s="7" t="str">
        <f>IF(Source!F67="","",ROUND(IF(UPPER(Source!I67)="S",-1,1)*(N(Source!F67)+N(Source!G67)/60+N(Source!H67)/3600),7))</f>
        <v/>
      </c>
      <c r="E67" s="7" t="str">
        <f>IF(Source!J67="","",ROUND(IF(UPPER(Source!M67)="W",-1,1)*(N(Source!J67)+N(Source!K67)/60+N(Source!L67)/3600),7))</f>
        <v/>
      </c>
      <c r="F67" s="7" t="str">
        <f>SUBSTITUTE(TRIM(Source!N67&amp;" "&amp;Source!O67&amp;" "&amp;Source!P67)," ","/")</f>
        <v/>
      </c>
      <c r="G67" s="7" t="str">
        <f>IF(Source!Q67="","",Source!Q67)</f>
        <v/>
      </c>
      <c r="H67" s="7" t="str">
        <f>IF(Source!R67="","",Source!R67)</f>
        <v/>
      </c>
      <c r="I67" s="7" t="str">
        <f>IF(Source!S67&lt;&gt;"",Source!S67,IF(Source!C67&lt;&gt;"",Source!C67,""))</f>
        <v/>
      </c>
      <c r="J67" s="7" t="str">
        <f>TRIM(Source!T67&amp;" "&amp;Source!U67&amp;" "&amp;IF(Source!V67="","",Source!V67&amp;"s")&amp;" "&amp;IF(Source!W67="","",Source!W67&amp;"M"))</f>
        <v/>
      </c>
      <c r="K67" s="7" t="str">
        <f>IF(Source!X67="","",Source!X67)</f>
        <v/>
      </c>
      <c r="L67" s="7" t="str">
        <f>IF(Source!Y67="","",Source!Y67)</f>
        <v/>
      </c>
      <c r="M67" s="7" t="str">
        <f>IF(Source!Z67="","",Source!Z67)</f>
        <v/>
      </c>
      <c r="N67" s="7" t="str">
        <f>IF(Source!AA67="","",Source!AA67)</f>
        <v/>
      </c>
      <c r="O67" s="7" t="str">
        <f>IF(Source!AB67="","",Source!AB67)</f>
        <v/>
      </c>
      <c r="P67" s="7" t="str">
        <f>IF(Source!AC67="","",Source!AC67)</f>
        <v/>
      </c>
      <c r="Q67" s="7" t="str">
        <f>IF(Source!AD67="","",TEXT(Source!AD67,"000000000"))</f>
        <v/>
      </c>
      <c r="R67" s="7" t="str">
        <f>IF(Source!AE67="","","physical AIS type "&amp;Source!AE67)</f>
        <v/>
      </c>
      <c r="S67" s="7" t="str">
        <f>IF(Source!AF67="","",IF(LEN(Source!AF67)=1,UPPER(Source!AF67),"yes"))</f>
        <v/>
      </c>
      <c r="T67" s="7" t="str">
        <f>IF(Source!AG67="","",Source!AG67)</f>
        <v/>
      </c>
      <c r="U67" s="7" t="str">
        <f>IF(Source!AH67="","",YEAR(Source!AH67)&amp;"-"&amp;TEXT(MONTH(Source!AH67),"00")&amp;"-"&amp;TEXT(DAY(Source!AH67),"00"))</f>
        <v/>
      </c>
      <c r="V67" s="7" t="str">
        <f>IF(Source!AI67="","",IF(OR(UPPER(Source!AI67)="YES",UPPER(Source!AI67)="Y"),"visually conspicuous",IF(OR(UPPER(Source!AI67)="NO",UPPER(Source!AI67)="N"),"not visually conspicuous",Source!AI67)))</f>
        <v/>
      </c>
      <c r="W67" s="7" t="str">
        <f>IF(Source!AJ67="","",Source!AJ67)</f>
        <v/>
      </c>
    </row>
    <row r="68">
      <c r="A68" s="7" t="str">
        <f>IF(Source!A68="","",Source!A68&amp;"")</f>
        <v/>
      </c>
      <c r="B68" s="7" t="str">
        <f>TRIM(Source!C68&amp;" "&amp;Source!B68&amp;" "&amp;Source!D68)</f>
        <v/>
      </c>
      <c r="C68" s="7" t="str">
        <f>IF(Source!E68="","",Source!E68)</f>
        <v/>
      </c>
      <c r="D68" s="7" t="str">
        <f>IF(Source!F68="","",ROUND(IF(UPPER(Source!I68)="S",-1,1)*(N(Source!F68)+N(Source!G68)/60+N(Source!H68)/3600),7))</f>
        <v/>
      </c>
      <c r="E68" s="7" t="str">
        <f>IF(Source!J68="","",ROUND(IF(UPPER(Source!M68)="W",-1,1)*(N(Source!J68)+N(Source!K68)/60+N(Source!L68)/3600),7))</f>
        <v/>
      </c>
      <c r="F68" s="7" t="str">
        <f>SUBSTITUTE(TRIM(Source!N68&amp;" "&amp;Source!O68&amp;" "&amp;Source!P68)," ","/")</f>
        <v/>
      </c>
      <c r="G68" s="7" t="str">
        <f>IF(Source!Q68="","",Source!Q68)</f>
        <v/>
      </c>
      <c r="H68" s="7" t="str">
        <f>IF(Source!R68="","",Source!R68)</f>
        <v/>
      </c>
      <c r="I68" s="7" t="str">
        <f>IF(Source!S68&lt;&gt;"",Source!S68,IF(Source!C68&lt;&gt;"",Source!C68,""))</f>
        <v/>
      </c>
      <c r="J68" s="7" t="str">
        <f>TRIM(Source!T68&amp;" "&amp;Source!U68&amp;" "&amp;IF(Source!V68="","",Source!V68&amp;"s")&amp;" "&amp;IF(Source!W68="","",Source!W68&amp;"M"))</f>
        <v/>
      </c>
      <c r="K68" s="7" t="str">
        <f>IF(Source!X68="","",Source!X68)</f>
        <v/>
      </c>
      <c r="L68" s="7" t="str">
        <f>IF(Source!Y68="","",Source!Y68)</f>
        <v/>
      </c>
      <c r="M68" s="7" t="str">
        <f>IF(Source!Z68="","",Source!Z68)</f>
        <v/>
      </c>
      <c r="N68" s="7" t="str">
        <f>IF(Source!AA68="","",Source!AA68)</f>
        <v/>
      </c>
      <c r="O68" s="7" t="str">
        <f>IF(Source!AB68="","",Source!AB68)</f>
        <v/>
      </c>
      <c r="P68" s="7" t="str">
        <f>IF(Source!AC68="","",Source!AC68)</f>
        <v/>
      </c>
      <c r="Q68" s="7" t="str">
        <f>IF(Source!AD68="","",TEXT(Source!AD68,"000000000"))</f>
        <v/>
      </c>
      <c r="R68" s="7" t="str">
        <f>IF(Source!AE68="","","physical AIS type "&amp;Source!AE68)</f>
        <v/>
      </c>
      <c r="S68" s="7" t="str">
        <f>IF(Source!AF68="","",IF(LEN(Source!AF68)=1,UPPER(Source!AF68),"yes"))</f>
        <v/>
      </c>
      <c r="T68" s="7" t="str">
        <f>IF(Source!AG68="","",Source!AG68)</f>
        <v/>
      </c>
      <c r="U68" s="7" t="str">
        <f>IF(Source!AH68="","",YEAR(Source!AH68)&amp;"-"&amp;TEXT(MONTH(Source!AH68),"00")&amp;"-"&amp;TEXT(DAY(Source!AH68),"00"))</f>
        <v/>
      </c>
      <c r="V68" s="7" t="str">
        <f>IF(Source!AI68="","",IF(OR(UPPER(Source!AI68)="YES",UPPER(Source!AI68)="Y"),"visually conspicuous",IF(OR(UPPER(Source!AI68)="NO",UPPER(Source!AI68)="N"),"not visually conspicuous",Source!AI68)))</f>
        <v/>
      </c>
      <c r="W68" s="7" t="str">
        <f>IF(Source!AJ68="","",Source!AJ68)</f>
        <v/>
      </c>
    </row>
    <row r="69">
      <c r="A69" s="7" t="str">
        <f>IF(Source!A69="","",Source!A69&amp;"")</f>
        <v/>
      </c>
      <c r="B69" s="7" t="str">
        <f>TRIM(Source!C69&amp;" "&amp;Source!B69&amp;" "&amp;Source!D69)</f>
        <v/>
      </c>
      <c r="C69" s="7" t="str">
        <f>IF(Source!E69="","",Source!E69)</f>
        <v/>
      </c>
      <c r="D69" s="7" t="str">
        <f>IF(Source!F69="","",ROUND(IF(UPPER(Source!I69)="S",-1,1)*(N(Source!F69)+N(Source!G69)/60+N(Source!H69)/3600),7))</f>
        <v/>
      </c>
      <c r="E69" s="7" t="str">
        <f>IF(Source!J69="","",ROUND(IF(UPPER(Source!M69)="W",-1,1)*(N(Source!J69)+N(Source!K69)/60+N(Source!L69)/3600),7))</f>
        <v/>
      </c>
      <c r="F69" s="7" t="str">
        <f>SUBSTITUTE(TRIM(Source!N69&amp;" "&amp;Source!O69&amp;" "&amp;Source!P69)," ","/")</f>
        <v/>
      </c>
      <c r="G69" s="7" t="str">
        <f>IF(Source!Q69="","",Source!Q69)</f>
        <v/>
      </c>
      <c r="H69" s="7" t="str">
        <f>IF(Source!R69="","",Source!R69)</f>
        <v/>
      </c>
      <c r="I69" s="7" t="str">
        <f>IF(Source!S69&lt;&gt;"",Source!S69,IF(Source!C69&lt;&gt;"",Source!C69,""))</f>
        <v/>
      </c>
      <c r="J69" s="7" t="str">
        <f>TRIM(Source!T69&amp;" "&amp;Source!U69&amp;" "&amp;IF(Source!V69="","",Source!V69&amp;"s")&amp;" "&amp;IF(Source!W69="","",Source!W69&amp;"M"))</f>
        <v/>
      </c>
      <c r="K69" s="7" t="str">
        <f>IF(Source!X69="","",Source!X69)</f>
        <v/>
      </c>
      <c r="L69" s="7" t="str">
        <f>IF(Source!Y69="","",Source!Y69)</f>
        <v/>
      </c>
      <c r="M69" s="7" t="str">
        <f>IF(Source!Z69="","",Source!Z69)</f>
        <v/>
      </c>
      <c r="N69" s="7" t="str">
        <f>IF(Source!AA69="","",Source!AA69)</f>
        <v/>
      </c>
      <c r="O69" s="7" t="str">
        <f>IF(Source!AB69="","",Source!AB69)</f>
        <v/>
      </c>
      <c r="P69" s="7" t="str">
        <f>IF(Source!AC69="","",Source!AC69)</f>
        <v/>
      </c>
      <c r="Q69" s="7" t="str">
        <f>IF(Source!AD69="","",TEXT(Source!AD69,"000000000"))</f>
        <v/>
      </c>
      <c r="R69" s="7" t="str">
        <f>IF(Source!AE69="","","physical AIS type "&amp;Source!AE69)</f>
        <v/>
      </c>
      <c r="S69" s="7" t="str">
        <f>IF(Source!AF69="","",IF(LEN(Source!AF69)=1,UPPER(Source!AF69),"yes"))</f>
        <v/>
      </c>
      <c r="T69" s="7" t="str">
        <f>IF(Source!AG69="","",Source!AG69)</f>
        <v/>
      </c>
      <c r="U69" s="7" t="str">
        <f>IF(Source!AH69="","",YEAR(Source!AH69)&amp;"-"&amp;TEXT(MONTH(Source!AH69),"00")&amp;"-"&amp;TEXT(DAY(Source!AH69),"00"))</f>
        <v/>
      </c>
      <c r="V69" s="7" t="str">
        <f>IF(Source!AI69="","",IF(OR(UPPER(Source!AI69)="YES",UPPER(Source!AI69)="Y"),"visually conspicuous",IF(OR(UPPER(Source!AI69)="NO",UPPER(Source!AI69)="N"),"not visually conspicuous",Source!AI69)))</f>
        <v/>
      </c>
      <c r="W69" s="7" t="str">
        <f>IF(Source!AJ69="","",Source!AJ69)</f>
        <v/>
      </c>
    </row>
    <row r="70">
      <c r="A70" s="7" t="str">
        <f>IF(Source!A70="","",Source!A70&amp;"")</f>
        <v/>
      </c>
      <c r="B70" s="7" t="str">
        <f>TRIM(Source!C70&amp;" "&amp;Source!B70&amp;" "&amp;Source!D70)</f>
        <v/>
      </c>
      <c r="C70" s="7" t="str">
        <f>IF(Source!E70="","",Source!E70)</f>
        <v/>
      </c>
      <c r="D70" s="7" t="str">
        <f>IF(Source!F70="","",ROUND(IF(UPPER(Source!I70)="S",-1,1)*(N(Source!F70)+N(Source!G70)/60+N(Source!H70)/3600),7))</f>
        <v/>
      </c>
      <c r="E70" s="7" t="str">
        <f>IF(Source!J70="","",ROUND(IF(UPPER(Source!M70)="W",-1,1)*(N(Source!J70)+N(Source!K70)/60+N(Source!L70)/3600),7))</f>
        <v/>
      </c>
      <c r="F70" s="7" t="str">
        <f>SUBSTITUTE(TRIM(Source!N70&amp;" "&amp;Source!O70&amp;" "&amp;Source!P70)," ","/")</f>
        <v/>
      </c>
      <c r="G70" s="7" t="str">
        <f>IF(Source!Q70="","",Source!Q70)</f>
        <v/>
      </c>
      <c r="H70" s="7" t="str">
        <f>IF(Source!R70="","",Source!R70)</f>
        <v/>
      </c>
      <c r="I70" s="7" t="str">
        <f>IF(Source!S70&lt;&gt;"",Source!S70,IF(Source!C70&lt;&gt;"",Source!C70,""))</f>
        <v/>
      </c>
      <c r="J70" s="7" t="str">
        <f>TRIM(Source!T70&amp;" "&amp;Source!U70&amp;" "&amp;IF(Source!V70="","",Source!V70&amp;"s")&amp;" "&amp;IF(Source!W70="","",Source!W70&amp;"M"))</f>
        <v/>
      </c>
      <c r="K70" s="7" t="str">
        <f>IF(Source!X70="","",Source!X70)</f>
        <v/>
      </c>
      <c r="L70" s="7" t="str">
        <f>IF(Source!Y70="","",Source!Y70)</f>
        <v/>
      </c>
      <c r="M70" s="7" t="str">
        <f>IF(Source!Z70="","",Source!Z70)</f>
        <v/>
      </c>
      <c r="N70" s="7" t="str">
        <f>IF(Source!AA70="","",Source!AA70)</f>
        <v/>
      </c>
      <c r="O70" s="7" t="str">
        <f>IF(Source!AB70="","",Source!AB70)</f>
        <v/>
      </c>
      <c r="P70" s="7" t="str">
        <f>IF(Source!AC70="","",Source!AC70)</f>
        <v/>
      </c>
      <c r="Q70" s="7" t="str">
        <f>IF(Source!AD70="","",TEXT(Source!AD70,"000000000"))</f>
        <v/>
      </c>
      <c r="R70" s="7" t="str">
        <f>IF(Source!AE70="","","physical AIS type "&amp;Source!AE70)</f>
        <v/>
      </c>
      <c r="S70" s="7" t="str">
        <f>IF(Source!AF70="","",IF(LEN(Source!AF70)=1,UPPER(Source!AF70),"yes"))</f>
        <v/>
      </c>
      <c r="T70" s="7" t="str">
        <f>IF(Source!AG70="","",Source!AG70)</f>
        <v/>
      </c>
      <c r="U70" s="7" t="str">
        <f>IF(Source!AH70="","",YEAR(Source!AH70)&amp;"-"&amp;TEXT(MONTH(Source!AH70),"00")&amp;"-"&amp;TEXT(DAY(Source!AH70),"00"))</f>
        <v/>
      </c>
      <c r="V70" s="7" t="str">
        <f>IF(Source!AI70="","",IF(OR(UPPER(Source!AI70)="YES",UPPER(Source!AI70)="Y"),"visually conspicuous",IF(OR(UPPER(Source!AI70)="NO",UPPER(Source!AI70)="N"),"not visually conspicuous",Source!AI70)))</f>
        <v/>
      </c>
      <c r="W70" s="7" t="str">
        <f>IF(Source!AJ70="","",Source!AJ70)</f>
        <v/>
      </c>
    </row>
    <row r="71">
      <c r="A71" s="7" t="str">
        <f>IF(Source!A71="","",Source!A71&amp;"")</f>
        <v/>
      </c>
      <c r="B71" s="7" t="str">
        <f>TRIM(Source!C71&amp;" "&amp;Source!B71&amp;" "&amp;Source!D71)</f>
        <v/>
      </c>
      <c r="C71" s="7" t="str">
        <f>IF(Source!E71="","",Source!E71)</f>
        <v/>
      </c>
      <c r="D71" s="7" t="str">
        <f>IF(Source!F71="","",ROUND(IF(UPPER(Source!I71)="S",-1,1)*(N(Source!F71)+N(Source!G71)/60+N(Source!H71)/3600),7))</f>
        <v/>
      </c>
      <c r="E71" s="7" t="str">
        <f>IF(Source!J71="","",ROUND(IF(UPPER(Source!M71)="W",-1,1)*(N(Source!J71)+N(Source!K71)/60+N(Source!L71)/3600),7))</f>
        <v/>
      </c>
      <c r="F71" s="7" t="str">
        <f>SUBSTITUTE(TRIM(Source!N71&amp;" "&amp;Source!O71&amp;" "&amp;Source!P71)," ","/")</f>
        <v/>
      </c>
      <c r="G71" s="7" t="str">
        <f>IF(Source!Q71="","",Source!Q71)</f>
        <v/>
      </c>
      <c r="H71" s="7" t="str">
        <f>IF(Source!R71="","",Source!R71)</f>
        <v/>
      </c>
      <c r="I71" s="7" t="str">
        <f>IF(Source!S71&lt;&gt;"",Source!S71,IF(Source!C71&lt;&gt;"",Source!C71,""))</f>
        <v/>
      </c>
      <c r="J71" s="7" t="str">
        <f>TRIM(Source!T71&amp;" "&amp;Source!U71&amp;" "&amp;IF(Source!V71="","",Source!V71&amp;"s")&amp;" "&amp;IF(Source!W71="","",Source!W71&amp;"M"))</f>
        <v/>
      </c>
      <c r="K71" s="7" t="str">
        <f>IF(Source!X71="","",Source!X71)</f>
        <v/>
      </c>
      <c r="L71" s="7" t="str">
        <f>IF(Source!Y71="","",Source!Y71)</f>
        <v/>
      </c>
      <c r="M71" s="7" t="str">
        <f>IF(Source!Z71="","",Source!Z71)</f>
        <v/>
      </c>
      <c r="N71" s="7" t="str">
        <f>IF(Source!AA71="","",Source!AA71)</f>
        <v/>
      </c>
      <c r="O71" s="7" t="str">
        <f>IF(Source!AB71="","",Source!AB71)</f>
        <v/>
      </c>
      <c r="P71" s="7" t="str">
        <f>IF(Source!AC71="","",Source!AC71)</f>
        <v/>
      </c>
      <c r="Q71" s="7" t="str">
        <f>IF(Source!AD71="","",TEXT(Source!AD71,"000000000"))</f>
        <v/>
      </c>
      <c r="R71" s="7" t="str">
        <f>IF(Source!AE71="","","physical AIS type "&amp;Source!AE71)</f>
        <v/>
      </c>
      <c r="S71" s="7" t="str">
        <f>IF(Source!AF71="","",IF(LEN(Source!AF71)=1,UPPER(Source!AF71),"yes"))</f>
        <v/>
      </c>
      <c r="T71" s="7" t="str">
        <f>IF(Source!AG71="","",Source!AG71)</f>
        <v/>
      </c>
      <c r="U71" s="7" t="str">
        <f>IF(Source!AH71="","",YEAR(Source!AH71)&amp;"-"&amp;TEXT(MONTH(Source!AH71),"00")&amp;"-"&amp;TEXT(DAY(Source!AH71),"00"))</f>
        <v/>
      </c>
      <c r="V71" s="7" t="str">
        <f>IF(Source!AI71="","",IF(OR(UPPER(Source!AI71)="YES",UPPER(Source!AI71)="Y"),"visually conspicuous",IF(OR(UPPER(Source!AI71)="NO",UPPER(Source!AI71)="N"),"not visually conspicuous",Source!AI71)))</f>
        <v/>
      </c>
      <c r="W71" s="7" t="str">
        <f>IF(Source!AJ71="","",Source!AJ71)</f>
        <v/>
      </c>
    </row>
    <row r="72">
      <c r="A72" s="7" t="str">
        <f>IF(Source!A72="","",Source!A72&amp;"")</f>
        <v/>
      </c>
      <c r="B72" s="7" t="str">
        <f>TRIM(Source!C72&amp;" "&amp;Source!B72&amp;" "&amp;Source!D72)</f>
        <v/>
      </c>
      <c r="C72" s="7" t="str">
        <f>IF(Source!E72="","",Source!E72)</f>
        <v/>
      </c>
      <c r="D72" s="7" t="str">
        <f>IF(Source!F72="","",ROUND(IF(UPPER(Source!I72)="S",-1,1)*(N(Source!F72)+N(Source!G72)/60+N(Source!H72)/3600),7))</f>
        <v/>
      </c>
      <c r="E72" s="7" t="str">
        <f>IF(Source!J72="","",ROUND(IF(UPPER(Source!M72)="W",-1,1)*(N(Source!J72)+N(Source!K72)/60+N(Source!L72)/3600),7))</f>
        <v/>
      </c>
      <c r="F72" s="7" t="str">
        <f>SUBSTITUTE(TRIM(Source!N72&amp;" "&amp;Source!O72&amp;" "&amp;Source!P72)," ","/")</f>
        <v/>
      </c>
      <c r="G72" s="7" t="str">
        <f>IF(Source!Q72="","",Source!Q72)</f>
        <v/>
      </c>
      <c r="H72" s="7" t="str">
        <f>IF(Source!R72="","",Source!R72)</f>
        <v/>
      </c>
      <c r="I72" s="7" t="str">
        <f>IF(Source!S72&lt;&gt;"",Source!S72,IF(Source!C72&lt;&gt;"",Source!C72,""))</f>
        <v/>
      </c>
      <c r="J72" s="7" t="str">
        <f>TRIM(Source!T72&amp;" "&amp;Source!U72&amp;" "&amp;IF(Source!V72="","",Source!V72&amp;"s")&amp;" "&amp;IF(Source!W72="","",Source!W72&amp;"M"))</f>
        <v/>
      </c>
      <c r="K72" s="7" t="str">
        <f>IF(Source!X72="","",Source!X72)</f>
        <v/>
      </c>
      <c r="L72" s="7" t="str">
        <f>IF(Source!Y72="","",Source!Y72)</f>
        <v/>
      </c>
      <c r="M72" s="7" t="str">
        <f>IF(Source!Z72="","",Source!Z72)</f>
        <v/>
      </c>
      <c r="N72" s="7" t="str">
        <f>IF(Source!AA72="","",Source!AA72)</f>
        <v/>
      </c>
      <c r="O72" s="7" t="str">
        <f>IF(Source!AB72="","",Source!AB72)</f>
        <v/>
      </c>
      <c r="P72" s="7" t="str">
        <f>IF(Source!AC72="","",Source!AC72)</f>
        <v/>
      </c>
      <c r="Q72" s="7" t="str">
        <f>IF(Source!AD72="","",TEXT(Source!AD72,"000000000"))</f>
        <v/>
      </c>
      <c r="R72" s="7" t="str">
        <f>IF(Source!AE72="","","physical AIS type "&amp;Source!AE72)</f>
        <v/>
      </c>
      <c r="S72" s="7" t="str">
        <f>IF(Source!AF72="","",IF(LEN(Source!AF72)=1,UPPER(Source!AF72),"yes"))</f>
        <v/>
      </c>
      <c r="T72" s="7" t="str">
        <f>IF(Source!AG72="","",Source!AG72)</f>
        <v/>
      </c>
      <c r="U72" s="7" t="str">
        <f>IF(Source!AH72="","",YEAR(Source!AH72)&amp;"-"&amp;TEXT(MONTH(Source!AH72),"00")&amp;"-"&amp;TEXT(DAY(Source!AH72),"00"))</f>
        <v/>
      </c>
      <c r="V72" s="7" t="str">
        <f>IF(Source!AI72="","",IF(OR(UPPER(Source!AI72)="YES",UPPER(Source!AI72)="Y"),"visually conspicuous",IF(OR(UPPER(Source!AI72)="NO",UPPER(Source!AI72)="N"),"not visually conspicuous",Source!AI72)))</f>
        <v/>
      </c>
      <c r="W72" s="7" t="str">
        <f>IF(Source!AJ72="","",Source!AJ72)</f>
        <v/>
      </c>
    </row>
    <row r="73">
      <c r="A73" s="7" t="str">
        <f>IF(Source!A73="","",Source!A73&amp;"")</f>
        <v/>
      </c>
      <c r="B73" s="7" t="str">
        <f>TRIM(Source!C73&amp;" "&amp;Source!B73&amp;" "&amp;Source!D73)</f>
        <v/>
      </c>
      <c r="C73" s="7" t="str">
        <f>IF(Source!E73="","",Source!E73)</f>
        <v/>
      </c>
      <c r="D73" s="7" t="str">
        <f>IF(Source!F73="","",ROUND(IF(UPPER(Source!I73)="S",-1,1)*(N(Source!F73)+N(Source!G73)/60+N(Source!H73)/3600),7))</f>
        <v/>
      </c>
      <c r="E73" s="7" t="str">
        <f>IF(Source!J73="","",ROUND(IF(UPPER(Source!M73)="W",-1,1)*(N(Source!J73)+N(Source!K73)/60+N(Source!L73)/3600),7))</f>
        <v/>
      </c>
      <c r="F73" s="7" t="str">
        <f>SUBSTITUTE(TRIM(Source!N73&amp;" "&amp;Source!O73&amp;" "&amp;Source!P73)," ","/")</f>
        <v/>
      </c>
      <c r="G73" s="7" t="str">
        <f>IF(Source!Q73="","",Source!Q73)</f>
        <v/>
      </c>
      <c r="H73" s="7" t="str">
        <f>IF(Source!R73="","",Source!R73)</f>
        <v/>
      </c>
      <c r="I73" s="7" t="str">
        <f>IF(Source!S73&lt;&gt;"",Source!S73,IF(Source!C73&lt;&gt;"",Source!C73,""))</f>
        <v/>
      </c>
      <c r="J73" s="7" t="str">
        <f>TRIM(Source!T73&amp;" "&amp;Source!U73&amp;" "&amp;IF(Source!V73="","",Source!V73&amp;"s")&amp;" "&amp;IF(Source!W73="","",Source!W73&amp;"M"))</f>
        <v/>
      </c>
      <c r="K73" s="7" t="str">
        <f>IF(Source!X73="","",Source!X73)</f>
        <v/>
      </c>
      <c r="L73" s="7" t="str">
        <f>IF(Source!Y73="","",Source!Y73)</f>
        <v/>
      </c>
      <c r="M73" s="7" t="str">
        <f>IF(Source!Z73="","",Source!Z73)</f>
        <v/>
      </c>
      <c r="N73" s="7" t="str">
        <f>IF(Source!AA73="","",Source!AA73)</f>
        <v/>
      </c>
      <c r="O73" s="7" t="str">
        <f>IF(Source!AB73="","",Source!AB73)</f>
        <v/>
      </c>
      <c r="P73" s="7" t="str">
        <f>IF(Source!AC73="","",Source!AC73)</f>
        <v/>
      </c>
      <c r="Q73" s="7" t="str">
        <f>IF(Source!AD73="","",TEXT(Source!AD73,"000000000"))</f>
        <v/>
      </c>
      <c r="R73" s="7" t="str">
        <f>IF(Source!AE73="","","physical AIS type "&amp;Source!AE73)</f>
        <v/>
      </c>
      <c r="S73" s="7" t="str">
        <f>IF(Source!AF73="","",IF(LEN(Source!AF73)=1,UPPER(Source!AF73),"yes"))</f>
        <v/>
      </c>
      <c r="T73" s="7" t="str">
        <f>IF(Source!AG73="","",Source!AG73)</f>
        <v/>
      </c>
      <c r="U73" s="7" t="str">
        <f>IF(Source!AH73="","",YEAR(Source!AH73)&amp;"-"&amp;TEXT(MONTH(Source!AH73),"00")&amp;"-"&amp;TEXT(DAY(Source!AH73),"00"))</f>
        <v/>
      </c>
      <c r="V73" s="7" t="str">
        <f>IF(Source!AI73="","",IF(OR(UPPER(Source!AI73)="YES",UPPER(Source!AI73)="Y"),"visually conspicuous",IF(OR(UPPER(Source!AI73)="NO",UPPER(Source!AI73)="N"),"not visually conspicuous",Source!AI73)))</f>
        <v/>
      </c>
      <c r="W73" s="7" t="str">
        <f>IF(Source!AJ73="","",Source!AJ73)</f>
        <v/>
      </c>
    </row>
    <row r="74">
      <c r="A74" s="7" t="str">
        <f>IF(Source!A74="","",Source!A74&amp;"")</f>
        <v/>
      </c>
      <c r="B74" s="7" t="str">
        <f>TRIM(Source!C74&amp;" "&amp;Source!B74&amp;" "&amp;Source!D74)</f>
        <v/>
      </c>
      <c r="C74" s="7" t="str">
        <f>IF(Source!E74="","",Source!E74)</f>
        <v/>
      </c>
      <c r="D74" s="7" t="str">
        <f>IF(Source!F74="","",ROUND(IF(UPPER(Source!I74)="S",-1,1)*(N(Source!F74)+N(Source!G74)/60+N(Source!H74)/3600),7))</f>
        <v/>
      </c>
      <c r="E74" s="7" t="str">
        <f>IF(Source!J74="","",ROUND(IF(UPPER(Source!M74)="W",-1,1)*(N(Source!J74)+N(Source!K74)/60+N(Source!L74)/3600),7))</f>
        <v/>
      </c>
      <c r="F74" s="7" t="str">
        <f>SUBSTITUTE(TRIM(Source!N74&amp;" "&amp;Source!O74&amp;" "&amp;Source!P74)," ","/")</f>
        <v/>
      </c>
      <c r="G74" s="7" t="str">
        <f>IF(Source!Q74="","",Source!Q74)</f>
        <v/>
      </c>
      <c r="H74" s="7" t="str">
        <f>IF(Source!R74="","",Source!R74)</f>
        <v/>
      </c>
      <c r="I74" s="7" t="str">
        <f>IF(Source!S74&lt;&gt;"",Source!S74,IF(Source!C74&lt;&gt;"",Source!C74,""))</f>
        <v/>
      </c>
      <c r="J74" s="7" t="str">
        <f>TRIM(Source!T74&amp;" "&amp;Source!U74&amp;" "&amp;IF(Source!V74="","",Source!V74&amp;"s")&amp;" "&amp;IF(Source!W74="","",Source!W74&amp;"M"))</f>
        <v/>
      </c>
      <c r="K74" s="7" t="str">
        <f>IF(Source!X74="","",Source!X74)</f>
        <v/>
      </c>
      <c r="L74" s="7" t="str">
        <f>IF(Source!Y74="","",Source!Y74)</f>
        <v/>
      </c>
      <c r="M74" s="7" t="str">
        <f>IF(Source!Z74="","",Source!Z74)</f>
        <v/>
      </c>
      <c r="N74" s="7" t="str">
        <f>IF(Source!AA74="","",Source!AA74)</f>
        <v/>
      </c>
      <c r="O74" s="7" t="str">
        <f>IF(Source!AB74="","",Source!AB74)</f>
        <v/>
      </c>
      <c r="P74" s="7" t="str">
        <f>IF(Source!AC74="","",Source!AC74)</f>
        <v/>
      </c>
      <c r="Q74" s="7" t="str">
        <f>IF(Source!AD74="","",TEXT(Source!AD74,"000000000"))</f>
        <v/>
      </c>
      <c r="R74" s="7" t="str">
        <f>IF(Source!AE74="","","physical AIS type "&amp;Source!AE74)</f>
        <v/>
      </c>
      <c r="S74" s="7" t="str">
        <f>IF(Source!AF74="","",IF(LEN(Source!AF74)=1,UPPER(Source!AF74),"yes"))</f>
        <v/>
      </c>
      <c r="T74" s="7" t="str">
        <f>IF(Source!AG74="","",Source!AG74)</f>
        <v/>
      </c>
      <c r="U74" s="7" t="str">
        <f>IF(Source!AH74="","",YEAR(Source!AH74)&amp;"-"&amp;TEXT(MONTH(Source!AH74),"00")&amp;"-"&amp;TEXT(DAY(Source!AH74),"00"))</f>
        <v/>
      </c>
      <c r="V74" s="7" t="str">
        <f>IF(Source!AI74="","",IF(OR(UPPER(Source!AI74)="YES",UPPER(Source!AI74)="Y"),"visually conspicuous",IF(OR(UPPER(Source!AI74)="NO",UPPER(Source!AI74)="N"),"not visually conspicuous",Source!AI74)))</f>
        <v/>
      </c>
      <c r="W74" s="7" t="str">
        <f>IF(Source!AJ74="","",Source!AJ74)</f>
        <v/>
      </c>
    </row>
    <row r="75">
      <c r="A75" s="7" t="str">
        <f>IF(Source!A75="","",Source!A75&amp;"")</f>
        <v/>
      </c>
      <c r="B75" s="7" t="str">
        <f>TRIM(Source!C75&amp;" "&amp;Source!B75&amp;" "&amp;Source!D75)</f>
        <v/>
      </c>
      <c r="C75" s="7" t="str">
        <f>IF(Source!E75="","",Source!E75)</f>
        <v/>
      </c>
      <c r="D75" s="7" t="str">
        <f>IF(Source!F75="","",ROUND(IF(UPPER(Source!I75)="S",-1,1)*(N(Source!F75)+N(Source!G75)/60+N(Source!H75)/3600),7))</f>
        <v/>
      </c>
      <c r="E75" s="7" t="str">
        <f>IF(Source!J75="","",ROUND(IF(UPPER(Source!M75)="W",-1,1)*(N(Source!J75)+N(Source!K75)/60+N(Source!L75)/3600),7))</f>
        <v/>
      </c>
      <c r="F75" s="7" t="str">
        <f>SUBSTITUTE(TRIM(Source!N75&amp;" "&amp;Source!O75&amp;" "&amp;Source!P75)," ","/")</f>
        <v/>
      </c>
      <c r="G75" s="7" t="str">
        <f>IF(Source!Q75="","",Source!Q75)</f>
        <v/>
      </c>
      <c r="H75" s="7" t="str">
        <f>IF(Source!R75="","",Source!R75)</f>
        <v/>
      </c>
      <c r="I75" s="7" t="str">
        <f>IF(Source!S75&lt;&gt;"",Source!S75,IF(Source!C75&lt;&gt;"",Source!C75,""))</f>
        <v/>
      </c>
      <c r="J75" s="7" t="str">
        <f>TRIM(Source!T75&amp;" "&amp;Source!U75&amp;" "&amp;IF(Source!V75="","",Source!V75&amp;"s")&amp;" "&amp;IF(Source!W75="","",Source!W75&amp;"M"))</f>
        <v/>
      </c>
      <c r="K75" s="7" t="str">
        <f>IF(Source!X75="","",Source!X75)</f>
        <v/>
      </c>
      <c r="L75" s="7" t="str">
        <f>IF(Source!Y75="","",Source!Y75)</f>
        <v/>
      </c>
      <c r="M75" s="7" t="str">
        <f>IF(Source!Z75="","",Source!Z75)</f>
        <v/>
      </c>
      <c r="N75" s="7" t="str">
        <f>IF(Source!AA75="","",Source!AA75)</f>
        <v/>
      </c>
      <c r="O75" s="7" t="str">
        <f>IF(Source!AB75="","",Source!AB75)</f>
        <v/>
      </c>
      <c r="P75" s="7" t="str">
        <f>IF(Source!AC75="","",Source!AC75)</f>
        <v/>
      </c>
      <c r="Q75" s="7" t="str">
        <f>IF(Source!AD75="","",TEXT(Source!AD75,"000000000"))</f>
        <v/>
      </c>
      <c r="R75" s="7" t="str">
        <f>IF(Source!AE75="","","physical AIS type "&amp;Source!AE75)</f>
        <v/>
      </c>
      <c r="S75" s="7" t="str">
        <f>IF(Source!AF75="","",IF(LEN(Source!AF75)=1,UPPER(Source!AF75),"yes"))</f>
        <v/>
      </c>
      <c r="T75" s="7" t="str">
        <f>IF(Source!AG75="","",Source!AG75)</f>
        <v/>
      </c>
      <c r="U75" s="7" t="str">
        <f>IF(Source!AH75="","",YEAR(Source!AH75)&amp;"-"&amp;TEXT(MONTH(Source!AH75),"00")&amp;"-"&amp;TEXT(DAY(Source!AH75),"00"))</f>
        <v/>
      </c>
      <c r="V75" s="7" t="str">
        <f>IF(Source!AI75="","",IF(OR(UPPER(Source!AI75)="YES",UPPER(Source!AI75)="Y"),"visually conspicuous",IF(OR(UPPER(Source!AI75)="NO",UPPER(Source!AI75)="N"),"not visually conspicuous",Source!AI75)))</f>
        <v/>
      </c>
      <c r="W75" s="7" t="str">
        <f>IF(Source!AJ75="","",Source!AJ75)</f>
        <v/>
      </c>
    </row>
    <row r="76">
      <c r="A76" s="7" t="str">
        <f>IF(Source!A76="","",Source!A76&amp;"")</f>
        <v/>
      </c>
      <c r="B76" s="7" t="str">
        <f>TRIM(Source!C76&amp;" "&amp;Source!B76&amp;" "&amp;Source!D76)</f>
        <v/>
      </c>
      <c r="C76" s="7" t="str">
        <f>IF(Source!E76="","",Source!E76)</f>
        <v/>
      </c>
      <c r="D76" s="7" t="str">
        <f>IF(Source!F76="","",ROUND(IF(UPPER(Source!I76)="S",-1,1)*(N(Source!F76)+N(Source!G76)/60+N(Source!H76)/3600),7))</f>
        <v/>
      </c>
      <c r="E76" s="7" t="str">
        <f>IF(Source!J76="","",ROUND(IF(UPPER(Source!M76)="W",-1,1)*(N(Source!J76)+N(Source!K76)/60+N(Source!L76)/3600),7))</f>
        <v/>
      </c>
      <c r="F76" s="7" t="str">
        <f>SUBSTITUTE(TRIM(Source!N76&amp;" "&amp;Source!O76&amp;" "&amp;Source!P76)," ","/")</f>
        <v/>
      </c>
      <c r="G76" s="7" t="str">
        <f>IF(Source!Q76="","",Source!Q76)</f>
        <v/>
      </c>
      <c r="H76" s="7" t="str">
        <f>IF(Source!R76="","",Source!R76)</f>
        <v/>
      </c>
      <c r="I76" s="7" t="str">
        <f>IF(Source!S76&lt;&gt;"",Source!S76,IF(Source!C76&lt;&gt;"",Source!C76,""))</f>
        <v/>
      </c>
      <c r="J76" s="7" t="str">
        <f>TRIM(Source!T76&amp;" "&amp;Source!U76&amp;" "&amp;IF(Source!V76="","",Source!V76&amp;"s")&amp;" "&amp;IF(Source!W76="","",Source!W76&amp;"M"))</f>
        <v/>
      </c>
      <c r="K76" s="7" t="str">
        <f>IF(Source!X76="","",Source!X76)</f>
        <v/>
      </c>
      <c r="L76" s="7" t="str">
        <f>IF(Source!Y76="","",Source!Y76)</f>
        <v/>
      </c>
      <c r="M76" s="7" t="str">
        <f>IF(Source!Z76="","",Source!Z76)</f>
        <v/>
      </c>
      <c r="N76" s="7" t="str">
        <f>IF(Source!AA76="","",Source!AA76)</f>
        <v/>
      </c>
      <c r="O76" s="7" t="str">
        <f>IF(Source!AB76="","",Source!AB76)</f>
        <v/>
      </c>
      <c r="P76" s="7" t="str">
        <f>IF(Source!AC76="","",Source!AC76)</f>
        <v/>
      </c>
      <c r="Q76" s="7" t="str">
        <f>IF(Source!AD76="","",TEXT(Source!AD76,"000000000"))</f>
        <v/>
      </c>
      <c r="R76" s="7" t="str">
        <f>IF(Source!AE76="","","physical AIS type "&amp;Source!AE76)</f>
        <v/>
      </c>
      <c r="S76" s="7" t="str">
        <f>IF(Source!AF76="","",IF(LEN(Source!AF76)=1,UPPER(Source!AF76),"yes"))</f>
        <v/>
      </c>
      <c r="T76" s="7" t="str">
        <f>IF(Source!AG76="","",Source!AG76)</f>
        <v/>
      </c>
      <c r="U76" s="7" t="str">
        <f>IF(Source!AH76="","",YEAR(Source!AH76)&amp;"-"&amp;TEXT(MONTH(Source!AH76),"00")&amp;"-"&amp;TEXT(DAY(Source!AH76),"00"))</f>
        <v/>
      </c>
      <c r="V76" s="7" t="str">
        <f>IF(Source!AI76="","",IF(OR(UPPER(Source!AI76)="YES",UPPER(Source!AI76)="Y"),"visually conspicuous",IF(OR(UPPER(Source!AI76)="NO",UPPER(Source!AI76)="N"),"not visually conspicuous",Source!AI76)))</f>
        <v/>
      </c>
      <c r="W76" s="7" t="str">
        <f>IF(Source!AJ76="","",Source!AJ76)</f>
        <v/>
      </c>
    </row>
    <row r="77">
      <c r="A77" s="7" t="str">
        <f>IF(Source!A77="","",Source!A77&amp;"")</f>
        <v/>
      </c>
      <c r="B77" s="7" t="str">
        <f>TRIM(Source!C77&amp;" "&amp;Source!B77&amp;" "&amp;Source!D77)</f>
        <v/>
      </c>
      <c r="C77" s="7" t="str">
        <f>IF(Source!E77="","",Source!E77)</f>
        <v/>
      </c>
      <c r="D77" s="7" t="str">
        <f>IF(Source!F77="","",ROUND(IF(UPPER(Source!I77)="S",-1,1)*(N(Source!F77)+N(Source!G77)/60+N(Source!H77)/3600),7))</f>
        <v/>
      </c>
      <c r="E77" s="7" t="str">
        <f>IF(Source!J77="","",ROUND(IF(UPPER(Source!M77)="W",-1,1)*(N(Source!J77)+N(Source!K77)/60+N(Source!L77)/3600),7))</f>
        <v/>
      </c>
      <c r="F77" s="7" t="str">
        <f>SUBSTITUTE(TRIM(Source!N77&amp;" "&amp;Source!O77&amp;" "&amp;Source!P77)," ","/")</f>
        <v/>
      </c>
      <c r="G77" s="7" t="str">
        <f>IF(Source!Q77="","",Source!Q77)</f>
        <v/>
      </c>
      <c r="H77" s="7" t="str">
        <f>IF(Source!R77="","",Source!R77)</f>
        <v/>
      </c>
      <c r="I77" s="7" t="str">
        <f>IF(Source!S77&lt;&gt;"",Source!S77,IF(Source!C77&lt;&gt;"",Source!C77,""))</f>
        <v/>
      </c>
      <c r="J77" s="7" t="str">
        <f>TRIM(Source!T77&amp;" "&amp;Source!U77&amp;" "&amp;IF(Source!V77="","",Source!V77&amp;"s")&amp;" "&amp;IF(Source!W77="","",Source!W77&amp;"M"))</f>
        <v/>
      </c>
      <c r="K77" s="7" t="str">
        <f>IF(Source!X77="","",Source!X77)</f>
        <v/>
      </c>
      <c r="L77" s="7" t="str">
        <f>IF(Source!Y77="","",Source!Y77)</f>
        <v/>
      </c>
      <c r="M77" s="7" t="str">
        <f>IF(Source!Z77="","",Source!Z77)</f>
        <v/>
      </c>
      <c r="N77" s="7" t="str">
        <f>IF(Source!AA77="","",Source!AA77)</f>
        <v/>
      </c>
      <c r="O77" s="7" t="str">
        <f>IF(Source!AB77="","",Source!AB77)</f>
        <v/>
      </c>
      <c r="P77" s="7" t="str">
        <f>IF(Source!AC77="","",Source!AC77)</f>
        <v/>
      </c>
      <c r="Q77" s="7" t="str">
        <f>IF(Source!AD77="","",TEXT(Source!AD77,"000000000"))</f>
        <v/>
      </c>
      <c r="R77" s="7" t="str">
        <f>IF(Source!AE77="","","physical AIS type "&amp;Source!AE77)</f>
        <v/>
      </c>
      <c r="S77" s="7" t="str">
        <f>IF(Source!AF77="","",IF(LEN(Source!AF77)=1,UPPER(Source!AF77),"yes"))</f>
        <v/>
      </c>
      <c r="T77" s="7" t="str">
        <f>IF(Source!AG77="","",Source!AG77)</f>
        <v/>
      </c>
      <c r="U77" s="7" t="str">
        <f>IF(Source!AH77="","",YEAR(Source!AH77)&amp;"-"&amp;TEXT(MONTH(Source!AH77),"00")&amp;"-"&amp;TEXT(DAY(Source!AH77),"00"))</f>
        <v/>
      </c>
      <c r="V77" s="7" t="str">
        <f>IF(Source!AI77="","",IF(OR(UPPER(Source!AI77)="YES",UPPER(Source!AI77)="Y"),"visually conspicuous",IF(OR(UPPER(Source!AI77)="NO",UPPER(Source!AI77)="N"),"not visually conspicuous",Source!AI77)))</f>
        <v/>
      </c>
      <c r="W77" s="7" t="str">
        <f>IF(Source!AJ77="","",Source!AJ77)</f>
        <v/>
      </c>
    </row>
    <row r="78">
      <c r="A78" s="7" t="str">
        <f>IF(Source!A78="","",Source!A78&amp;"")</f>
        <v/>
      </c>
      <c r="B78" s="7" t="str">
        <f>TRIM(Source!C78&amp;" "&amp;Source!B78&amp;" "&amp;Source!D78)</f>
        <v/>
      </c>
      <c r="C78" s="7" t="str">
        <f>IF(Source!E78="","",Source!E78)</f>
        <v/>
      </c>
      <c r="D78" s="7" t="str">
        <f>IF(Source!F78="","",ROUND(IF(UPPER(Source!I78)="S",-1,1)*(N(Source!F78)+N(Source!G78)/60+N(Source!H78)/3600),7))</f>
        <v/>
      </c>
      <c r="E78" s="7" t="str">
        <f>IF(Source!J78="","",ROUND(IF(UPPER(Source!M78)="W",-1,1)*(N(Source!J78)+N(Source!K78)/60+N(Source!L78)/3600),7))</f>
        <v/>
      </c>
      <c r="F78" s="7" t="str">
        <f>SUBSTITUTE(TRIM(Source!N78&amp;" "&amp;Source!O78&amp;" "&amp;Source!P78)," ","/")</f>
        <v/>
      </c>
      <c r="G78" s="7" t="str">
        <f>IF(Source!Q78="","",Source!Q78)</f>
        <v/>
      </c>
      <c r="H78" s="7" t="str">
        <f>IF(Source!R78="","",Source!R78)</f>
        <v/>
      </c>
      <c r="I78" s="7" t="str">
        <f>IF(Source!S78&lt;&gt;"",Source!S78,IF(Source!C78&lt;&gt;"",Source!C78,""))</f>
        <v/>
      </c>
      <c r="J78" s="7" t="str">
        <f>TRIM(Source!T78&amp;" "&amp;Source!U78&amp;" "&amp;IF(Source!V78="","",Source!V78&amp;"s")&amp;" "&amp;IF(Source!W78="","",Source!W78&amp;"M"))</f>
        <v/>
      </c>
      <c r="K78" s="7" t="str">
        <f>IF(Source!X78="","",Source!X78)</f>
        <v/>
      </c>
      <c r="L78" s="7" t="str">
        <f>IF(Source!Y78="","",Source!Y78)</f>
        <v/>
      </c>
      <c r="M78" s="7" t="str">
        <f>IF(Source!Z78="","",Source!Z78)</f>
        <v/>
      </c>
      <c r="N78" s="7" t="str">
        <f>IF(Source!AA78="","",Source!AA78)</f>
        <v/>
      </c>
      <c r="O78" s="7" t="str">
        <f>IF(Source!AB78="","",Source!AB78)</f>
        <v/>
      </c>
      <c r="P78" s="7" t="str">
        <f>IF(Source!AC78="","",Source!AC78)</f>
        <v/>
      </c>
      <c r="Q78" s="7" t="str">
        <f>IF(Source!AD78="","",TEXT(Source!AD78,"000000000"))</f>
        <v/>
      </c>
      <c r="R78" s="7" t="str">
        <f>IF(Source!AE78="","","physical AIS type "&amp;Source!AE78)</f>
        <v/>
      </c>
      <c r="S78" s="7" t="str">
        <f>IF(Source!AF78="","",IF(LEN(Source!AF78)=1,UPPER(Source!AF78),"yes"))</f>
        <v/>
      </c>
      <c r="T78" s="7" t="str">
        <f>IF(Source!AG78="","",Source!AG78)</f>
        <v/>
      </c>
      <c r="U78" s="7" t="str">
        <f>IF(Source!AH78="","",YEAR(Source!AH78)&amp;"-"&amp;TEXT(MONTH(Source!AH78),"00")&amp;"-"&amp;TEXT(DAY(Source!AH78),"00"))</f>
        <v/>
      </c>
      <c r="V78" s="7" t="str">
        <f>IF(Source!AI78="","",IF(OR(UPPER(Source!AI78)="YES",UPPER(Source!AI78)="Y"),"visually conspicuous",IF(OR(UPPER(Source!AI78)="NO",UPPER(Source!AI78)="N"),"not visually conspicuous",Source!AI78)))</f>
        <v/>
      </c>
      <c r="W78" s="7" t="str">
        <f>IF(Source!AJ78="","",Source!AJ78)</f>
        <v/>
      </c>
    </row>
    <row r="79">
      <c r="A79" s="7" t="str">
        <f>IF(Source!A79="","",Source!A79&amp;"")</f>
        <v/>
      </c>
      <c r="B79" s="7" t="str">
        <f>TRIM(Source!C79&amp;" "&amp;Source!B79&amp;" "&amp;Source!D79)</f>
        <v/>
      </c>
      <c r="C79" s="7" t="str">
        <f>IF(Source!E79="","",Source!E79)</f>
        <v/>
      </c>
      <c r="D79" s="7" t="str">
        <f>IF(Source!F79="","",ROUND(IF(UPPER(Source!I79)="S",-1,1)*(N(Source!F79)+N(Source!G79)/60+N(Source!H79)/3600),7))</f>
        <v/>
      </c>
      <c r="E79" s="7" t="str">
        <f>IF(Source!J79="","",ROUND(IF(UPPER(Source!M79)="W",-1,1)*(N(Source!J79)+N(Source!K79)/60+N(Source!L79)/3600),7))</f>
        <v/>
      </c>
      <c r="F79" s="7" t="str">
        <f>SUBSTITUTE(TRIM(Source!N79&amp;" "&amp;Source!O79&amp;" "&amp;Source!P79)," ","/")</f>
        <v/>
      </c>
      <c r="G79" s="7" t="str">
        <f>IF(Source!Q79="","",Source!Q79)</f>
        <v/>
      </c>
      <c r="H79" s="7" t="str">
        <f>IF(Source!R79="","",Source!R79)</f>
        <v/>
      </c>
      <c r="I79" s="7" t="str">
        <f>IF(Source!S79&lt;&gt;"",Source!S79,IF(Source!C79&lt;&gt;"",Source!C79,""))</f>
        <v/>
      </c>
      <c r="J79" s="7" t="str">
        <f>TRIM(Source!T79&amp;" "&amp;Source!U79&amp;" "&amp;IF(Source!V79="","",Source!V79&amp;"s")&amp;" "&amp;IF(Source!W79="","",Source!W79&amp;"M"))</f>
        <v/>
      </c>
      <c r="K79" s="7" t="str">
        <f>IF(Source!X79="","",Source!X79)</f>
        <v/>
      </c>
      <c r="L79" s="7" t="str">
        <f>IF(Source!Y79="","",Source!Y79)</f>
        <v/>
      </c>
      <c r="M79" s="7" t="str">
        <f>IF(Source!Z79="","",Source!Z79)</f>
        <v/>
      </c>
      <c r="N79" s="7" t="str">
        <f>IF(Source!AA79="","",Source!AA79)</f>
        <v/>
      </c>
      <c r="O79" s="7" t="str">
        <f>IF(Source!AB79="","",Source!AB79)</f>
        <v/>
      </c>
      <c r="P79" s="7" t="str">
        <f>IF(Source!AC79="","",Source!AC79)</f>
        <v/>
      </c>
      <c r="Q79" s="7" t="str">
        <f>IF(Source!AD79="","",TEXT(Source!AD79,"000000000"))</f>
        <v/>
      </c>
      <c r="R79" s="7" t="str">
        <f>IF(Source!AE79="","","physical AIS type "&amp;Source!AE79)</f>
        <v/>
      </c>
      <c r="S79" s="7" t="str">
        <f>IF(Source!AF79="","",IF(LEN(Source!AF79)=1,UPPER(Source!AF79),"yes"))</f>
        <v/>
      </c>
      <c r="T79" s="7" t="str">
        <f>IF(Source!AG79="","",Source!AG79)</f>
        <v/>
      </c>
      <c r="U79" s="7" t="str">
        <f>IF(Source!AH79="","",YEAR(Source!AH79)&amp;"-"&amp;TEXT(MONTH(Source!AH79),"00")&amp;"-"&amp;TEXT(DAY(Source!AH79),"00"))</f>
        <v/>
      </c>
      <c r="V79" s="7" t="str">
        <f>IF(Source!AI79="","",IF(OR(UPPER(Source!AI79)="YES",UPPER(Source!AI79)="Y"),"visually conspicuous",IF(OR(UPPER(Source!AI79)="NO",UPPER(Source!AI79)="N"),"not visually conspicuous",Source!AI79)))</f>
        <v/>
      </c>
      <c r="W79" s="7" t="str">
        <f>IF(Source!AJ79="","",Source!AJ79)</f>
        <v/>
      </c>
    </row>
    <row r="80">
      <c r="A80" s="7" t="str">
        <f>IF(Source!A80="","",Source!A80&amp;"")</f>
        <v/>
      </c>
      <c r="B80" s="7" t="str">
        <f>TRIM(Source!C80&amp;" "&amp;Source!B80&amp;" "&amp;Source!D80)</f>
        <v/>
      </c>
      <c r="C80" s="7" t="str">
        <f>IF(Source!E80="","",Source!E80)</f>
        <v/>
      </c>
      <c r="D80" s="7" t="str">
        <f>IF(Source!F80="","",ROUND(IF(UPPER(Source!I80)="S",-1,1)*(N(Source!F80)+N(Source!G80)/60+N(Source!H80)/3600),7))</f>
        <v/>
      </c>
      <c r="E80" s="7" t="str">
        <f>IF(Source!J80="","",ROUND(IF(UPPER(Source!M80)="W",-1,1)*(N(Source!J80)+N(Source!K80)/60+N(Source!L80)/3600),7))</f>
        <v/>
      </c>
      <c r="F80" s="7" t="str">
        <f>SUBSTITUTE(TRIM(Source!N80&amp;" "&amp;Source!O80&amp;" "&amp;Source!P80)," ","/")</f>
        <v/>
      </c>
      <c r="G80" s="7" t="str">
        <f>IF(Source!Q80="","",Source!Q80)</f>
        <v/>
      </c>
      <c r="H80" s="7" t="str">
        <f>IF(Source!R80="","",Source!R80)</f>
        <v/>
      </c>
      <c r="I80" s="7" t="str">
        <f>IF(Source!S80&lt;&gt;"",Source!S80,IF(Source!C80&lt;&gt;"",Source!C80,""))</f>
        <v/>
      </c>
      <c r="J80" s="7" t="str">
        <f>TRIM(Source!T80&amp;" "&amp;Source!U80&amp;" "&amp;IF(Source!V80="","",Source!V80&amp;"s")&amp;" "&amp;IF(Source!W80="","",Source!W80&amp;"M"))</f>
        <v/>
      </c>
      <c r="K80" s="7" t="str">
        <f>IF(Source!X80="","",Source!X80)</f>
        <v/>
      </c>
      <c r="L80" s="7" t="str">
        <f>IF(Source!Y80="","",Source!Y80)</f>
        <v/>
      </c>
      <c r="M80" s="7" t="str">
        <f>IF(Source!Z80="","",Source!Z80)</f>
        <v/>
      </c>
      <c r="N80" s="7" t="str">
        <f>IF(Source!AA80="","",Source!AA80)</f>
        <v/>
      </c>
      <c r="O80" s="7" t="str">
        <f>IF(Source!AB80="","",Source!AB80)</f>
        <v/>
      </c>
      <c r="P80" s="7" t="str">
        <f>IF(Source!AC80="","",Source!AC80)</f>
        <v/>
      </c>
      <c r="Q80" s="7" t="str">
        <f>IF(Source!AD80="","",TEXT(Source!AD80,"000000000"))</f>
        <v/>
      </c>
      <c r="R80" s="7" t="str">
        <f>IF(Source!AE80="","","physical AIS type "&amp;Source!AE80)</f>
        <v/>
      </c>
      <c r="S80" s="7" t="str">
        <f>IF(Source!AF80="","",IF(LEN(Source!AF80)=1,UPPER(Source!AF80),"yes"))</f>
        <v/>
      </c>
      <c r="T80" s="7" t="str">
        <f>IF(Source!AG80="","",Source!AG80)</f>
        <v/>
      </c>
      <c r="U80" s="7" t="str">
        <f>IF(Source!AH80="","",YEAR(Source!AH80)&amp;"-"&amp;TEXT(MONTH(Source!AH80),"00")&amp;"-"&amp;TEXT(DAY(Source!AH80),"00"))</f>
        <v/>
      </c>
      <c r="V80" s="7" t="str">
        <f>IF(Source!AI80="","",IF(OR(UPPER(Source!AI80)="YES",UPPER(Source!AI80)="Y"),"visually conspicuous",IF(OR(UPPER(Source!AI80)="NO",UPPER(Source!AI80)="N"),"not visually conspicuous",Source!AI80)))</f>
        <v/>
      </c>
      <c r="W80" s="7" t="str">
        <f>IF(Source!AJ80="","",Source!AJ80)</f>
        <v/>
      </c>
    </row>
    <row r="81">
      <c r="A81" s="7" t="str">
        <f>IF(Source!A81="","",Source!A81&amp;"")</f>
        <v/>
      </c>
      <c r="B81" s="7" t="str">
        <f>TRIM(Source!C81&amp;" "&amp;Source!B81&amp;" "&amp;Source!D81)</f>
        <v/>
      </c>
      <c r="C81" s="7" t="str">
        <f>IF(Source!E81="","",Source!E81)</f>
        <v/>
      </c>
      <c r="D81" s="7" t="str">
        <f>IF(Source!F81="","",ROUND(IF(UPPER(Source!I81)="S",-1,1)*(N(Source!F81)+N(Source!G81)/60+N(Source!H81)/3600),7))</f>
        <v/>
      </c>
      <c r="E81" s="7" t="str">
        <f>IF(Source!J81="","",ROUND(IF(UPPER(Source!M81)="W",-1,1)*(N(Source!J81)+N(Source!K81)/60+N(Source!L81)/3600),7))</f>
        <v/>
      </c>
      <c r="F81" s="7" t="str">
        <f>SUBSTITUTE(TRIM(Source!N81&amp;" "&amp;Source!O81&amp;" "&amp;Source!P81)," ","/")</f>
        <v/>
      </c>
      <c r="G81" s="7" t="str">
        <f>IF(Source!Q81="","",Source!Q81)</f>
        <v/>
      </c>
      <c r="H81" s="7" t="str">
        <f>IF(Source!R81="","",Source!R81)</f>
        <v/>
      </c>
      <c r="I81" s="7" t="str">
        <f>IF(Source!S81&lt;&gt;"",Source!S81,IF(Source!C81&lt;&gt;"",Source!C81,""))</f>
        <v/>
      </c>
      <c r="J81" s="7" t="str">
        <f>TRIM(Source!T81&amp;" "&amp;Source!U81&amp;" "&amp;IF(Source!V81="","",Source!V81&amp;"s")&amp;" "&amp;IF(Source!W81="","",Source!W81&amp;"M"))</f>
        <v/>
      </c>
      <c r="K81" s="7" t="str">
        <f>IF(Source!X81="","",Source!X81)</f>
        <v/>
      </c>
      <c r="L81" s="7" t="str">
        <f>IF(Source!Y81="","",Source!Y81)</f>
        <v/>
      </c>
      <c r="M81" s="7" t="str">
        <f>IF(Source!Z81="","",Source!Z81)</f>
        <v/>
      </c>
      <c r="N81" s="7" t="str">
        <f>IF(Source!AA81="","",Source!AA81)</f>
        <v/>
      </c>
      <c r="O81" s="7" t="str">
        <f>IF(Source!AB81="","",Source!AB81)</f>
        <v/>
      </c>
      <c r="P81" s="7" t="str">
        <f>IF(Source!AC81="","",Source!AC81)</f>
        <v/>
      </c>
      <c r="Q81" s="7" t="str">
        <f>IF(Source!AD81="","",TEXT(Source!AD81,"000000000"))</f>
        <v/>
      </c>
      <c r="R81" s="7" t="str">
        <f>IF(Source!AE81="","","physical AIS type "&amp;Source!AE81)</f>
        <v/>
      </c>
      <c r="S81" s="7" t="str">
        <f>IF(Source!AF81="","",IF(LEN(Source!AF81)=1,UPPER(Source!AF81),"yes"))</f>
        <v/>
      </c>
      <c r="T81" s="7" t="str">
        <f>IF(Source!AG81="","",Source!AG81)</f>
        <v/>
      </c>
      <c r="U81" s="7" t="str">
        <f>IF(Source!AH81="","",YEAR(Source!AH81)&amp;"-"&amp;TEXT(MONTH(Source!AH81),"00")&amp;"-"&amp;TEXT(DAY(Source!AH81),"00"))</f>
        <v/>
      </c>
      <c r="V81" s="7" t="str">
        <f>IF(Source!AI81="","",IF(OR(UPPER(Source!AI81)="YES",UPPER(Source!AI81)="Y"),"visually conspicuous",IF(OR(UPPER(Source!AI81)="NO",UPPER(Source!AI81)="N"),"not visually conspicuous",Source!AI81)))</f>
        <v/>
      </c>
      <c r="W81" s="7" t="str">
        <f>IF(Source!AJ81="","",Source!AJ81)</f>
        <v/>
      </c>
    </row>
    <row r="82">
      <c r="A82" s="7" t="str">
        <f>IF(Source!A82="","",Source!A82&amp;"")</f>
        <v/>
      </c>
      <c r="B82" s="7" t="str">
        <f>TRIM(Source!C82&amp;" "&amp;Source!B82&amp;" "&amp;Source!D82)</f>
        <v/>
      </c>
      <c r="C82" s="7" t="str">
        <f>IF(Source!E82="","",Source!E82)</f>
        <v/>
      </c>
      <c r="D82" s="7" t="str">
        <f>IF(Source!F82="","",ROUND(IF(UPPER(Source!I82)="S",-1,1)*(N(Source!F82)+N(Source!G82)/60+N(Source!H82)/3600),7))</f>
        <v/>
      </c>
      <c r="E82" s="7" t="str">
        <f>IF(Source!J82="","",ROUND(IF(UPPER(Source!M82)="W",-1,1)*(N(Source!J82)+N(Source!K82)/60+N(Source!L82)/3600),7))</f>
        <v/>
      </c>
      <c r="F82" s="7" t="str">
        <f>SUBSTITUTE(TRIM(Source!N82&amp;" "&amp;Source!O82&amp;" "&amp;Source!P82)," ","/")</f>
        <v/>
      </c>
      <c r="G82" s="7" t="str">
        <f>IF(Source!Q82="","",Source!Q82)</f>
        <v/>
      </c>
      <c r="H82" s="7" t="str">
        <f>IF(Source!R82="","",Source!R82)</f>
        <v/>
      </c>
      <c r="I82" s="7" t="str">
        <f>IF(Source!S82&lt;&gt;"",Source!S82,IF(Source!C82&lt;&gt;"",Source!C82,""))</f>
        <v/>
      </c>
      <c r="J82" s="7" t="str">
        <f>TRIM(Source!T82&amp;" "&amp;Source!U82&amp;" "&amp;IF(Source!V82="","",Source!V82&amp;"s")&amp;" "&amp;IF(Source!W82="","",Source!W82&amp;"M"))</f>
        <v/>
      </c>
      <c r="K82" s="7" t="str">
        <f>IF(Source!X82="","",Source!X82)</f>
        <v/>
      </c>
      <c r="L82" s="7" t="str">
        <f>IF(Source!Y82="","",Source!Y82)</f>
        <v/>
      </c>
      <c r="M82" s="7" t="str">
        <f>IF(Source!Z82="","",Source!Z82)</f>
        <v/>
      </c>
      <c r="N82" s="7" t="str">
        <f>IF(Source!AA82="","",Source!AA82)</f>
        <v/>
      </c>
      <c r="O82" s="7" t="str">
        <f>IF(Source!AB82="","",Source!AB82)</f>
        <v/>
      </c>
      <c r="P82" s="7" t="str">
        <f>IF(Source!AC82="","",Source!AC82)</f>
        <v/>
      </c>
      <c r="Q82" s="7" t="str">
        <f>IF(Source!AD82="","",TEXT(Source!AD82,"000000000"))</f>
        <v/>
      </c>
      <c r="R82" s="7" t="str">
        <f>IF(Source!AE82="","","physical AIS type "&amp;Source!AE82)</f>
        <v/>
      </c>
      <c r="S82" s="7" t="str">
        <f>IF(Source!AF82="","",IF(LEN(Source!AF82)=1,UPPER(Source!AF82),"yes"))</f>
        <v/>
      </c>
      <c r="T82" s="7" t="str">
        <f>IF(Source!AG82="","",Source!AG82)</f>
        <v/>
      </c>
      <c r="U82" s="7" t="str">
        <f>IF(Source!AH82="","",YEAR(Source!AH82)&amp;"-"&amp;TEXT(MONTH(Source!AH82),"00")&amp;"-"&amp;TEXT(DAY(Source!AH82),"00"))</f>
        <v/>
      </c>
      <c r="V82" s="7" t="str">
        <f>IF(Source!AI82="","",IF(OR(UPPER(Source!AI82)="YES",UPPER(Source!AI82)="Y"),"visually conspicuous",IF(OR(UPPER(Source!AI82)="NO",UPPER(Source!AI82)="N"),"not visually conspicuous",Source!AI82)))</f>
        <v/>
      </c>
      <c r="W82" s="7" t="str">
        <f>IF(Source!AJ82="","",Source!AJ82)</f>
        <v/>
      </c>
    </row>
    <row r="83">
      <c r="A83" s="7" t="str">
        <f>IF(Source!A83="","",Source!A83&amp;"")</f>
        <v/>
      </c>
      <c r="B83" s="7" t="str">
        <f>TRIM(Source!C83&amp;" "&amp;Source!B83&amp;" "&amp;Source!D83)</f>
        <v/>
      </c>
      <c r="C83" s="7" t="str">
        <f>IF(Source!E83="","",Source!E83)</f>
        <v/>
      </c>
      <c r="D83" s="7" t="str">
        <f>IF(Source!F83="","",ROUND(IF(UPPER(Source!I83)="S",-1,1)*(N(Source!F83)+N(Source!G83)/60+N(Source!H83)/3600),7))</f>
        <v/>
      </c>
      <c r="E83" s="7" t="str">
        <f>IF(Source!J83="","",ROUND(IF(UPPER(Source!M83)="W",-1,1)*(N(Source!J83)+N(Source!K83)/60+N(Source!L83)/3600),7))</f>
        <v/>
      </c>
      <c r="F83" s="7" t="str">
        <f>SUBSTITUTE(TRIM(Source!N83&amp;" "&amp;Source!O83&amp;" "&amp;Source!P83)," ","/")</f>
        <v/>
      </c>
      <c r="G83" s="7" t="str">
        <f>IF(Source!Q83="","",Source!Q83)</f>
        <v/>
      </c>
      <c r="H83" s="7" t="str">
        <f>IF(Source!R83="","",Source!R83)</f>
        <v/>
      </c>
      <c r="I83" s="7" t="str">
        <f>IF(Source!S83&lt;&gt;"",Source!S83,IF(Source!C83&lt;&gt;"",Source!C83,""))</f>
        <v/>
      </c>
      <c r="J83" s="7" t="str">
        <f>TRIM(Source!T83&amp;" "&amp;Source!U83&amp;" "&amp;IF(Source!V83="","",Source!V83&amp;"s")&amp;" "&amp;IF(Source!W83="","",Source!W83&amp;"M"))</f>
        <v/>
      </c>
      <c r="K83" s="7" t="str">
        <f>IF(Source!X83="","",Source!X83)</f>
        <v/>
      </c>
      <c r="L83" s="7" t="str">
        <f>IF(Source!Y83="","",Source!Y83)</f>
        <v/>
      </c>
      <c r="M83" s="7" t="str">
        <f>IF(Source!Z83="","",Source!Z83)</f>
        <v/>
      </c>
      <c r="N83" s="7" t="str">
        <f>IF(Source!AA83="","",Source!AA83)</f>
        <v/>
      </c>
      <c r="O83" s="7" t="str">
        <f>IF(Source!AB83="","",Source!AB83)</f>
        <v/>
      </c>
      <c r="P83" s="7" t="str">
        <f>IF(Source!AC83="","",Source!AC83)</f>
        <v/>
      </c>
      <c r="Q83" s="7" t="str">
        <f>IF(Source!AD83="","",TEXT(Source!AD83,"000000000"))</f>
        <v/>
      </c>
      <c r="R83" s="7" t="str">
        <f>IF(Source!AE83="","","physical AIS type "&amp;Source!AE83)</f>
        <v/>
      </c>
      <c r="S83" s="7" t="str">
        <f>IF(Source!AF83="","",IF(LEN(Source!AF83)=1,UPPER(Source!AF83),"yes"))</f>
        <v/>
      </c>
      <c r="T83" s="7" t="str">
        <f>IF(Source!AG83="","",Source!AG83)</f>
        <v/>
      </c>
      <c r="U83" s="7" t="str">
        <f>IF(Source!AH83="","",YEAR(Source!AH83)&amp;"-"&amp;TEXT(MONTH(Source!AH83),"00")&amp;"-"&amp;TEXT(DAY(Source!AH83),"00"))</f>
        <v/>
      </c>
      <c r="V83" s="7" t="str">
        <f>IF(Source!AI83="","",IF(OR(UPPER(Source!AI83)="YES",UPPER(Source!AI83)="Y"),"visually conspicuous",IF(OR(UPPER(Source!AI83)="NO",UPPER(Source!AI83)="N"),"not visually conspicuous",Source!AI83)))</f>
        <v/>
      </c>
      <c r="W83" s="7" t="str">
        <f>IF(Source!AJ83="","",Source!AJ83)</f>
        <v/>
      </c>
    </row>
    <row r="84">
      <c r="A84" s="7" t="str">
        <f>IF(Source!A84="","",Source!A84&amp;"")</f>
        <v/>
      </c>
      <c r="B84" s="7" t="str">
        <f>TRIM(Source!C84&amp;" "&amp;Source!B84&amp;" "&amp;Source!D84)</f>
        <v/>
      </c>
      <c r="C84" s="7" t="str">
        <f>IF(Source!E84="","",Source!E84)</f>
        <v/>
      </c>
      <c r="D84" s="7" t="str">
        <f>IF(Source!F84="","",ROUND(IF(UPPER(Source!I84)="S",-1,1)*(N(Source!F84)+N(Source!G84)/60+N(Source!H84)/3600),7))</f>
        <v/>
      </c>
      <c r="E84" s="7" t="str">
        <f>IF(Source!J84="","",ROUND(IF(UPPER(Source!M84)="W",-1,1)*(N(Source!J84)+N(Source!K84)/60+N(Source!L84)/3600),7))</f>
        <v/>
      </c>
      <c r="F84" s="7" t="str">
        <f>SUBSTITUTE(TRIM(Source!N84&amp;" "&amp;Source!O84&amp;" "&amp;Source!P84)," ","/")</f>
        <v/>
      </c>
      <c r="G84" s="7" t="str">
        <f>IF(Source!Q84="","",Source!Q84)</f>
        <v/>
      </c>
      <c r="H84" s="7" t="str">
        <f>IF(Source!R84="","",Source!R84)</f>
        <v/>
      </c>
      <c r="I84" s="7" t="str">
        <f>IF(Source!S84&lt;&gt;"",Source!S84,IF(Source!C84&lt;&gt;"",Source!C84,""))</f>
        <v/>
      </c>
      <c r="J84" s="7" t="str">
        <f>TRIM(Source!T84&amp;" "&amp;Source!U84&amp;" "&amp;IF(Source!V84="","",Source!V84&amp;"s")&amp;" "&amp;IF(Source!W84="","",Source!W84&amp;"M"))</f>
        <v/>
      </c>
      <c r="K84" s="7" t="str">
        <f>IF(Source!X84="","",Source!X84)</f>
        <v/>
      </c>
      <c r="L84" s="7" t="str">
        <f>IF(Source!Y84="","",Source!Y84)</f>
        <v/>
      </c>
      <c r="M84" s="7" t="str">
        <f>IF(Source!Z84="","",Source!Z84)</f>
        <v/>
      </c>
      <c r="N84" s="7" t="str">
        <f>IF(Source!AA84="","",Source!AA84)</f>
        <v/>
      </c>
      <c r="O84" s="7" t="str">
        <f>IF(Source!AB84="","",Source!AB84)</f>
        <v/>
      </c>
      <c r="P84" s="7" t="str">
        <f>IF(Source!AC84="","",Source!AC84)</f>
        <v/>
      </c>
      <c r="Q84" s="7" t="str">
        <f>IF(Source!AD84="","",TEXT(Source!AD84,"000000000"))</f>
        <v/>
      </c>
      <c r="R84" s="7" t="str">
        <f>IF(Source!AE84="","","physical AIS type "&amp;Source!AE84)</f>
        <v/>
      </c>
      <c r="S84" s="7" t="str">
        <f>IF(Source!AF84="","",IF(LEN(Source!AF84)=1,UPPER(Source!AF84),"yes"))</f>
        <v/>
      </c>
      <c r="T84" s="7" t="str">
        <f>IF(Source!AG84="","",Source!AG84)</f>
        <v/>
      </c>
      <c r="U84" s="7" t="str">
        <f>IF(Source!AH84="","",YEAR(Source!AH84)&amp;"-"&amp;TEXT(MONTH(Source!AH84),"00")&amp;"-"&amp;TEXT(DAY(Source!AH84),"00"))</f>
        <v/>
      </c>
      <c r="V84" s="7" t="str">
        <f>IF(Source!AI84="","",IF(OR(UPPER(Source!AI84)="YES",UPPER(Source!AI84)="Y"),"visually conspicuous",IF(OR(UPPER(Source!AI84)="NO",UPPER(Source!AI84)="N"),"not visually conspicuous",Source!AI84)))</f>
        <v/>
      </c>
      <c r="W84" s="7" t="str">
        <f>IF(Source!AJ84="","",Source!AJ84)</f>
        <v/>
      </c>
    </row>
    <row r="85">
      <c r="A85" s="7" t="str">
        <f>IF(Source!A85="","",Source!A85&amp;"")</f>
        <v/>
      </c>
      <c r="B85" s="7" t="str">
        <f>TRIM(Source!C85&amp;" "&amp;Source!B85&amp;" "&amp;Source!D85)</f>
        <v/>
      </c>
      <c r="C85" s="7" t="str">
        <f>IF(Source!E85="","",Source!E85)</f>
        <v/>
      </c>
      <c r="D85" s="7" t="str">
        <f>IF(Source!F85="","",ROUND(IF(UPPER(Source!I85)="S",-1,1)*(N(Source!F85)+N(Source!G85)/60+N(Source!H85)/3600),7))</f>
        <v/>
      </c>
      <c r="E85" s="7" t="str">
        <f>IF(Source!J85="","",ROUND(IF(UPPER(Source!M85)="W",-1,1)*(N(Source!J85)+N(Source!K85)/60+N(Source!L85)/3600),7))</f>
        <v/>
      </c>
      <c r="F85" s="7" t="str">
        <f>SUBSTITUTE(TRIM(Source!N85&amp;" "&amp;Source!O85&amp;" "&amp;Source!P85)," ","/")</f>
        <v/>
      </c>
      <c r="G85" s="7" t="str">
        <f>IF(Source!Q85="","",Source!Q85)</f>
        <v/>
      </c>
      <c r="H85" s="7" t="str">
        <f>IF(Source!R85="","",Source!R85)</f>
        <v/>
      </c>
      <c r="I85" s="7" t="str">
        <f>IF(Source!S85&lt;&gt;"",Source!S85,IF(Source!C85&lt;&gt;"",Source!C85,""))</f>
        <v/>
      </c>
      <c r="J85" s="7" t="str">
        <f>TRIM(Source!T85&amp;" "&amp;Source!U85&amp;" "&amp;IF(Source!V85="","",Source!V85&amp;"s")&amp;" "&amp;IF(Source!W85="","",Source!W85&amp;"M"))</f>
        <v/>
      </c>
      <c r="K85" s="7" t="str">
        <f>IF(Source!X85="","",Source!X85)</f>
        <v/>
      </c>
      <c r="L85" s="7" t="str">
        <f>IF(Source!Y85="","",Source!Y85)</f>
        <v/>
      </c>
      <c r="M85" s="7" t="str">
        <f>IF(Source!Z85="","",Source!Z85)</f>
        <v/>
      </c>
      <c r="N85" s="7" t="str">
        <f>IF(Source!AA85="","",Source!AA85)</f>
        <v/>
      </c>
      <c r="O85" s="7" t="str">
        <f>IF(Source!AB85="","",Source!AB85)</f>
        <v/>
      </c>
      <c r="P85" s="7" t="str">
        <f>IF(Source!AC85="","",Source!AC85)</f>
        <v/>
      </c>
      <c r="Q85" s="7" t="str">
        <f>IF(Source!AD85="","",TEXT(Source!AD85,"000000000"))</f>
        <v/>
      </c>
      <c r="R85" s="7" t="str">
        <f>IF(Source!AE85="","","physical AIS type "&amp;Source!AE85)</f>
        <v/>
      </c>
      <c r="S85" s="7" t="str">
        <f>IF(Source!AF85="","",IF(LEN(Source!AF85)=1,UPPER(Source!AF85),"yes"))</f>
        <v/>
      </c>
      <c r="T85" s="7" t="str">
        <f>IF(Source!AG85="","",Source!AG85)</f>
        <v/>
      </c>
      <c r="U85" s="7" t="str">
        <f>IF(Source!AH85="","",YEAR(Source!AH85)&amp;"-"&amp;TEXT(MONTH(Source!AH85),"00")&amp;"-"&amp;TEXT(DAY(Source!AH85),"00"))</f>
        <v/>
      </c>
      <c r="V85" s="7" t="str">
        <f>IF(Source!AI85="","",IF(OR(UPPER(Source!AI85)="YES",UPPER(Source!AI85)="Y"),"visually conspicuous",IF(OR(UPPER(Source!AI85)="NO",UPPER(Source!AI85)="N"),"not visually conspicuous",Source!AI85)))</f>
        <v/>
      </c>
      <c r="W85" s="7" t="str">
        <f>IF(Source!AJ85="","",Source!AJ85)</f>
        <v/>
      </c>
    </row>
    <row r="86">
      <c r="A86" s="7" t="str">
        <f>IF(Source!A86="","",Source!A86&amp;"")</f>
        <v/>
      </c>
      <c r="B86" s="7" t="str">
        <f>TRIM(Source!C86&amp;" "&amp;Source!B86&amp;" "&amp;Source!D86)</f>
        <v/>
      </c>
      <c r="C86" s="7" t="str">
        <f>IF(Source!E86="","",Source!E86)</f>
        <v/>
      </c>
      <c r="D86" s="7" t="str">
        <f>IF(Source!F86="","",ROUND(IF(UPPER(Source!I86)="S",-1,1)*(N(Source!F86)+N(Source!G86)/60+N(Source!H86)/3600),7))</f>
        <v/>
      </c>
      <c r="E86" s="7" t="str">
        <f>IF(Source!J86="","",ROUND(IF(UPPER(Source!M86)="W",-1,1)*(N(Source!J86)+N(Source!K86)/60+N(Source!L86)/3600),7))</f>
        <v/>
      </c>
      <c r="F86" s="7" t="str">
        <f>SUBSTITUTE(TRIM(Source!N86&amp;" "&amp;Source!O86&amp;" "&amp;Source!P86)," ","/")</f>
        <v/>
      </c>
      <c r="G86" s="7" t="str">
        <f>IF(Source!Q86="","",Source!Q86)</f>
        <v/>
      </c>
      <c r="H86" s="7" t="str">
        <f>IF(Source!R86="","",Source!R86)</f>
        <v/>
      </c>
      <c r="I86" s="7" t="str">
        <f>IF(Source!S86&lt;&gt;"",Source!S86,IF(Source!C86&lt;&gt;"",Source!C86,""))</f>
        <v/>
      </c>
      <c r="J86" s="7" t="str">
        <f>TRIM(Source!T86&amp;" "&amp;Source!U86&amp;" "&amp;IF(Source!V86="","",Source!V86&amp;"s")&amp;" "&amp;IF(Source!W86="","",Source!W86&amp;"M"))</f>
        <v/>
      </c>
      <c r="K86" s="7" t="str">
        <f>IF(Source!X86="","",Source!X86)</f>
        <v/>
      </c>
      <c r="L86" s="7" t="str">
        <f>IF(Source!Y86="","",Source!Y86)</f>
        <v/>
      </c>
      <c r="M86" s="7" t="str">
        <f>IF(Source!Z86="","",Source!Z86)</f>
        <v/>
      </c>
      <c r="N86" s="7" t="str">
        <f>IF(Source!AA86="","",Source!AA86)</f>
        <v/>
      </c>
      <c r="O86" s="7" t="str">
        <f>IF(Source!AB86="","",Source!AB86)</f>
        <v/>
      </c>
      <c r="P86" s="7" t="str">
        <f>IF(Source!AC86="","",Source!AC86)</f>
        <v/>
      </c>
      <c r="Q86" s="7" t="str">
        <f>IF(Source!AD86="","",TEXT(Source!AD86,"000000000"))</f>
        <v/>
      </c>
      <c r="R86" s="7" t="str">
        <f>IF(Source!AE86="","","physical AIS type "&amp;Source!AE86)</f>
        <v/>
      </c>
      <c r="S86" s="7" t="str">
        <f>IF(Source!AF86="","",IF(LEN(Source!AF86)=1,UPPER(Source!AF86),"yes"))</f>
        <v/>
      </c>
      <c r="T86" s="7" t="str">
        <f>IF(Source!AG86="","",Source!AG86)</f>
        <v/>
      </c>
      <c r="U86" s="7" t="str">
        <f>IF(Source!AH86="","",YEAR(Source!AH86)&amp;"-"&amp;TEXT(MONTH(Source!AH86),"00")&amp;"-"&amp;TEXT(DAY(Source!AH86),"00"))</f>
        <v/>
      </c>
      <c r="V86" s="7" t="str">
        <f>IF(Source!AI86="","",IF(OR(UPPER(Source!AI86)="YES",UPPER(Source!AI86)="Y"),"visually conspicuous",IF(OR(UPPER(Source!AI86)="NO",UPPER(Source!AI86)="N"),"not visually conspicuous",Source!AI86)))</f>
        <v/>
      </c>
      <c r="W86" s="7" t="str">
        <f>IF(Source!AJ86="","",Source!AJ86)</f>
        <v/>
      </c>
    </row>
    <row r="87">
      <c r="A87" s="7" t="str">
        <f>IF(Source!A87="","",Source!A87&amp;"")</f>
        <v/>
      </c>
      <c r="B87" s="7" t="str">
        <f>TRIM(Source!C87&amp;" "&amp;Source!B87&amp;" "&amp;Source!D87)</f>
        <v/>
      </c>
      <c r="C87" s="7" t="str">
        <f>IF(Source!E87="","",Source!E87)</f>
        <v/>
      </c>
      <c r="D87" s="7" t="str">
        <f>IF(Source!F87="","",ROUND(IF(UPPER(Source!I87)="S",-1,1)*(N(Source!F87)+N(Source!G87)/60+N(Source!H87)/3600),7))</f>
        <v/>
      </c>
      <c r="E87" s="7" t="str">
        <f>IF(Source!J87="","",ROUND(IF(UPPER(Source!M87)="W",-1,1)*(N(Source!J87)+N(Source!K87)/60+N(Source!L87)/3600),7))</f>
        <v/>
      </c>
      <c r="F87" s="7" t="str">
        <f>SUBSTITUTE(TRIM(Source!N87&amp;" "&amp;Source!O87&amp;" "&amp;Source!P87)," ","/")</f>
        <v/>
      </c>
      <c r="G87" s="7" t="str">
        <f>IF(Source!Q87="","",Source!Q87)</f>
        <v/>
      </c>
      <c r="H87" s="7" t="str">
        <f>IF(Source!R87="","",Source!R87)</f>
        <v/>
      </c>
      <c r="I87" s="7" t="str">
        <f>IF(Source!S87&lt;&gt;"",Source!S87,IF(Source!C87&lt;&gt;"",Source!C87,""))</f>
        <v/>
      </c>
      <c r="J87" s="7" t="str">
        <f>TRIM(Source!T87&amp;" "&amp;Source!U87&amp;" "&amp;IF(Source!V87="","",Source!V87&amp;"s")&amp;" "&amp;IF(Source!W87="","",Source!W87&amp;"M"))</f>
        <v/>
      </c>
      <c r="K87" s="7" t="str">
        <f>IF(Source!X87="","",Source!X87)</f>
        <v/>
      </c>
      <c r="L87" s="7" t="str">
        <f>IF(Source!Y87="","",Source!Y87)</f>
        <v/>
      </c>
      <c r="M87" s="7" t="str">
        <f>IF(Source!Z87="","",Source!Z87)</f>
        <v/>
      </c>
      <c r="N87" s="7" t="str">
        <f>IF(Source!AA87="","",Source!AA87)</f>
        <v/>
      </c>
      <c r="O87" s="7" t="str">
        <f>IF(Source!AB87="","",Source!AB87)</f>
        <v/>
      </c>
      <c r="P87" s="7" t="str">
        <f>IF(Source!AC87="","",Source!AC87)</f>
        <v/>
      </c>
      <c r="Q87" s="7" t="str">
        <f>IF(Source!AD87="","",TEXT(Source!AD87,"000000000"))</f>
        <v/>
      </c>
      <c r="R87" s="7" t="str">
        <f>IF(Source!AE87="","","physical AIS type "&amp;Source!AE87)</f>
        <v/>
      </c>
      <c r="S87" s="7" t="str">
        <f>IF(Source!AF87="","",IF(LEN(Source!AF87)=1,UPPER(Source!AF87),"yes"))</f>
        <v/>
      </c>
      <c r="T87" s="7" t="str">
        <f>IF(Source!AG87="","",Source!AG87)</f>
        <v/>
      </c>
      <c r="U87" s="7" t="str">
        <f>IF(Source!AH87="","",YEAR(Source!AH87)&amp;"-"&amp;TEXT(MONTH(Source!AH87),"00")&amp;"-"&amp;TEXT(DAY(Source!AH87),"00"))</f>
        <v/>
      </c>
      <c r="V87" s="7" t="str">
        <f>IF(Source!AI87="","",IF(OR(UPPER(Source!AI87)="YES",UPPER(Source!AI87)="Y"),"visually conspicuous",IF(OR(UPPER(Source!AI87)="NO",UPPER(Source!AI87)="N"),"not visually conspicuous",Source!AI87)))</f>
        <v/>
      </c>
      <c r="W87" s="7" t="str">
        <f>IF(Source!AJ87="","",Source!AJ87)</f>
        <v/>
      </c>
    </row>
    <row r="88">
      <c r="A88" s="7" t="str">
        <f>IF(Source!A88="","",Source!A88&amp;"")</f>
        <v/>
      </c>
      <c r="B88" s="7" t="str">
        <f>TRIM(Source!C88&amp;" "&amp;Source!B88&amp;" "&amp;Source!D88)</f>
        <v/>
      </c>
      <c r="C88" s="7" t="str">
        <f>IF(Source!E88="","",Source!E88)</f>
        <v/>
      </c>
      <c r="D88" s="7" t="str">
        <f>IF(Source!F88="","",ROUND(IF(UPPER(Source!I88)="S",-1,1)*(N(Source!F88)+N(Source!G88)/60+N(Source!H88)/3600),7))</f>
        <v/>
      </c>
      <c r="E88" s="7" t="str">
        <f>IF(Source!J88="","",ROUND(IF(UPPER(Source!M88)="W",-1,1)*(N(Source!J88)+N(Source!K88)/60+N(Source!L88)/3600),7))</f>
        <v/>
      </c>
      <c r="F88" s="7" t="str">
        <f>SUBSTITUTE(TRIM(Source!N88&amp;" "&amp;Source!O88&amp;" "&amp;Source!P88)," ","/")</f>
        <v/>
      </c>
      <c r="G88" s="7" t="str">
        <f>IF(Source!Q88="","",Source!Q88)</f>
        <v/>
      </c>
      <c r="H88" s="7" t="str">
        <f>IF(Source!R88="","",Source!R88)</f>
        <v/>
      </c>
      <c r="I88" s="7" t="str">
        <f>IF(Source!S88&lt;&gt;"",Source!S88,IF(Source!C88&lt;&gt;"",Source!C88,""))</f>
        <v/>
      </c>
      <c r="J88" s="7" t="str">
        <f>TRIM(Source!T88&amp;" "&amp;Source!U88&amp;" "&amp;IF(Source!V88="","",Source!V88&amp;"s")&amp;" "&amp;IF(Source!W88="","",Source!W88&amp;"M"))</f>
        <v/>
      </c>
      <c r="K88" s="7" t="str">
        <f>IF(Source!X88="","",Source!X88)</f>
        <v/>
      </c>
      <c r="L88" s="7" t="str">
        <f>IF(Source!Y88="","",Source!Y88)</f>
        <v/>
      </c>
      <c r="M88" s="7" t="str">
        <f>IF(Source!Z88="","",Source!Z88)</f>
        <v/>
      </c>
      <c r="N88" s="7" t="str">
        <f>IF(Source!AA88="","",Source!AA88)</f>
        <v/>
      </c>
      <c r="O88" s="7" t="str">
        <f>IF(Source!AB88="","",Source!AB88)</f>
        <v/>
      </c>
      <c r="P88" s="7" t="str">
        <f>IF(Source!AC88="","",Source!AC88)</f>
        <v/>
      </c>
      <c r="Q88" s="7" t="str">
        <f>IF(Source!AD88="","",TEXT(Source!AD88,"000000000"))</f>
        <v/>
      </c>
      <c r="R88" s="7" t="str">
        <f>IF(Source!AE88="","","physical AIS type "&amp;Source!AE88)</f>
        <v/>
      </c>
      <c r="S88" s="7" t="str">
        <f>IF(Source!AF88="","",IF(LEN(Source!AF88)=1,UPPER(Source!AF88),"yes"))</f>
        <v/>
      </c>
      <c r="T88" s="7" t="str">
        <f>IF(Source!AG88="","",Source!AG88)</f>
        <v/>
      </c>
      <c r="U88" s="7" t="str">
        <f>IF(Source!AH88="","",YEAR(Source!AH88)&amp;"-"&amp;TEXT(MONTH(Source!AH88),"00")&amp;"-"&amp;TEXT(DAY(Source!AH88),"00"))</f>
        <v/>
      </c>
      <c r="V88" s="7" t="str">
        <f>IF(Source!AI88="","",IF(OR(UPPER(Source!AI88)="YES",UPPER(Source!AI88)="Y"),"visually conspicuous",IF(OR(UPPER(Source!AI88)="NO",UPPER(Source!AI88)="N"),"not visually conspicuous",Source!AI88)))</f>
        <v/>
      </c>
      <c r="W88" s="7" t="str">
        <f>IF(Source!AJ88="","",Source!AJ88)</f>
        <v/>
      </c>
    </row>
    <row r="89">
      <c r="A89" s="7" t="str">
        <f>IF(Source!A89="","",Source!A89&amp;"")</f>
        <v/>
      </c>
      <c r="B89" s="7" t="str">
        <f>TRIM(Source!C89&amp;" "&amp;Source!B89&amp;" "&amp;Source!D89)</f>
        <v/>
      </c>
      <c r="C89" s="7" t="str">
        <f>IF(Source!E89="","",Source!E89)</f>
        <v/>
      </c>
      <c r="D89" s="7" t="str">
        <f>IF(Source!F89="","",ROUND(IF(UPPER(Source!I89)="S",-1,1)*(N(Source!F89)+N(Source!G89)/60+N(Source!H89)/3600),7))</f>
        <v/>
      </c>
      <c r="E89" s="7" t="str">
        <f>IF(Source!J89="","",ROUND(IF(UPPER(Source!M89)="W",-1,1)*(N(Source!J89)+N(Source!K89)/60+N(Source!L89)/3600),7))</f>
        <v/>
      </c>
      <c r="F89" s="7" t="str">
        <f>SUBSTITUTE(TRIM(Source!N89&amp;" "&amp;Source!O89&amp;" "&amp;Source!P89)," ","/")</f>
        <v/>
      </c>
      <c r="G89" s="7" t="str">
        <f>IF(Source!Q89="","",Source!Q89)</f>
        <v/>
      </c>
      <c r="H89" s="7" t="str">
        <f>IF(Source!R89="","",Source!R89)</f>
        <v/>
      </c>
      <c r="I89" s="7" t="str">
        <f>IF(Source!S89&lt;&gt;"",Source!S89,IF(Source!C89&lt;&gt;"",Source!C89,""))</f>
        <v/>
      </c>
      <c r="J89" s="7" t="str">
        <f>TRIM(Source!T89&amp;" "&amp;Source!U89&amp;" "&amp;IF(Source!V89="","",Source!V89&amp;"s")&amp;" "&amp;IF(Source!W89="","",Source!W89&amp;"M"))</f>
        <v/>
      </c>
      <c r="K89" s="7" t="str">
        <f>IF(Source!X89="","",Source!X89)</f>
        <v/>
      </c>
      <c r="L89" s="7" t="str">
        <f>IF(Source!Y89="","",Source!Y89)</f>
        <v/>
      </c>
      <c r="M89" s="7" t="str">
        <f>IF(Source!Z89="","",Source!Z89)</f>
        <v/>
      </c>
      <c r="N89" s="7" t="str">
        <f>IF(Source!AA89="","",Source!AA89)</f>
        <v/>
      </c>
      <c r="O89" s="7" t="str">
        <f>IF(Source!AB89="","",Source!AB89)</f>
        <v/>
      </c>
      <c r="P89" s="7" t="str">
        <f>IF(Source!AC89="","",Source!AC89)</f>
        <v/>
      </c>
      <c r="Q89" s="7" t="str">
        <f>IF(Source!AD89="","",TEXT(Source!AD89,"000000000"))</f>
        <v/>
      </c>
      <c r="R89" s="7" t="str">
        <f>IF(Source!AE89="","","physical AIS type "&amp;Source!AE89)</f>
        <v/>
      </c>
      <c r="S89" s="7" t="str">
        <f>IF(Source!AF89="","",IF(LEN(Source!AF89)=1,UPPER(Source!AF89),"yes"))</f>
        <v/>
      </c>
      <c r="T89" s="7" t="str">
        <f>IF(Source!AG89="","",Source!AG89)</f>
        <v/>
      </c>
      <c r="U89" s="7" t="str">
        <f>IF(Source!AH89="","",YEAR(Source!AH89)&amp;"-"&amp;TEXT(MONTH(Source!AH89),"00")&amp;"-"&amp;TEXT(DAY(Source!AH89),"00"))</f>
        <v/>
      </c>
      <c r="V89" s="7" t="str">
        <f>IF(Source!AI89="","",IF(OR(UPPER(Source!AI89)="YES",UPPER(Source!AI89)="Y"),"visually conspicuous",IF(OR(UPPER(Source!AI89)="NO",UPPER(Source!AI89)="N"),"not visually conspicuous",Source!AI89)))</f>
        <v/>
      </c>
      <c r="W89" s="7" t="str">
        <f>IF(Source!AJ89="","",Source!AJ89)</f>
        <v/>
      </c>
    </row>
    <row r="90">
      <c r="A90" s="7" t="str">
        <f>IF(Source!A90="","",Source!A90&amp;"")</f>
        <v/>
      </c>
      <c r="B90" s="7" t="str">
        <f>TRIM(Source!C90&amp;" "&amp;Source!B90&amp;" "&amp;Source!D90)</f>
        <v/>
      </c>
      <c r="C90" s="7" t="str">
        <f>IF(Source!E90="","",Source!E90)</f>
        <v/>
      </c>
      <c r="D90" s="7" t="str">
        <f>IF(Source!F90="","",ROUND(IF(UPPER(Source!I90)="S",-1,1)*(N(Source!F90)+N(Source!G90)/60+N(Source!H90)/3600),7))</f>
        <v/>
      </c>
      <c r="E90" s="7" t="str">
        <f>IF(Source!J90="","",ROUND(IF(UPPER(Source!M90)="W",-1,1)*(N(Source!J90)+N(Source!K90)/60+N(Source!L90)/3600),7))</f>
        <v/>
      </c>
      <c r="F90" s="7" t="str">
        <f>SUBSTITUTE(TRIM(Source!N90&amp;" "&amp;Source!O90&amp;" "&amp;Source!P90)," ","/")</f>
        <v/>
      </c>
      <c r="G90" s="7" t="str">
        <f>IF(Source!Q90="","",Source!Q90)</f>
        <v/>
      </c>
      <c r="H90" s="7" t="str">
        <f>IF(Source!R90="","",Source!R90)</f>
        <v/>
      </c>
      <c r="I90" s="7" t="str">
        <f>IF(Source!S90&lt;&gt;"",Source!S90,IF(Source!C90&lt;&gt;"",Source!C90,""))</f>
        <v/>
      </c>
      <c r="J90" s="7" t="str">
        <f>TRIM(Source!T90&amp;" "&amp;Source!U90&amp;" "&amp;IF(Source!V90="","",Source!V90&amp;"s")&amp;" "&amp;IF(Source!W90="","",Source!W90&amp;"M"))</f>
        <v/>
      </c>
      <c r="K90" s="7" t="str">
        <f>IF(Source!X90="","",Source!X90)</f>
        <v/>
      </c>
      <c r="L90" s="7" t="str">
        <f>IF(Source!Y90="","",Source!Y90)</f>
        <v/>
      </c>
      <c r="M90" s="7" t="str">
        <f>IF(Source!Z90="","",Source!Z90)</f>
        <v/>
      </c>
      <c r="N90" s="7" t="str">
        <f>IF(Source!AA90="","",Source!AA90)</f>
        <v/>
      </c>
      <c r="O90" s="7" t="str">
        <f>IF(Source!AB90="","",Source!AB90)</f>
        <v/>
      </c>
      <c r="P90" s="7" t="str">
        <f>IF(Source!AC90="","",Source!AC90)</f>
        <v/>
      </c>
      <c r="Q90" s="7" t="str">
        <f>IF(Source!AD90="","",TEXT(Source!AD90,"000000000"))</f>
        <v/>
      </c>
      <c r="R90" s="7" t="str">
        <f>IF(Source!AE90="","","physical AIS type "&amp;Source!AE90)</f>
        <v/>
      </c>
      <c r="S90" s="7" t="str">
        <f>IF(Source!AF90="","",IF(LEN(Source!AF90)=1,UPPER(Source!AF90),"yes"))</f>
        <v/>
      </c>
      <c r="T90" s="7" t="str">
        <f>IF(Source!AG90="","",Source!AG90)</f>
        <v/>
      </c>
      <c r="U90" s="7" t="str">
        <f>IF(Source!AH90="","",YEAR(Source!AH90)&amp;"-"&amp;TEXT(MONTH(Source!AH90),"00")&amp;"-"&amp;TEXT(DAY(Source!AH90),"00"))</f>
        <v/>
      </c>
      <c r="V90" s="7" t="str">
        <f>IF(Source!AI90="","",IF(OR(UPPER(Source!AI90)="YES",UPPER(Source!AI90)="Y"),"visually conspicuous",IF(OR(UPPER(Source!AI90)="NO",UPPER(Source!AI90)="N"),"not visually conspicuous",Source!AI90)))</f>
        <v/>
      </c>
      <c r="W90" s="7" t="str">
        <f>IF(Source!AJ90="","",Source!AJ90)</f>
        <v/>
      </c>
    </row>
    <row r="91">
      <c r="A91" s="7" t="str">
        <f>IF(Source!A91="","",Source!A91&amp;"")</f>
        <v/>
      </c>
      <c r="B91" s="7" t="str">
        <f>TRIM(Source!C91&amp;" "&amp;Source!B91&amp;" "&amp;Source!D91)</f>
        <v/>
      </c>
      <c r="C91" s="7" t="str">
        <f>IF(Source!E91="","",Source!E91)</f>
        <v/>
      </c>
      <c r="D91" s="7" t="str">
        <f>IF(Source!F91="","",ROUND(IF(UPPER(Source!I91)="S",-1,1)*(N(Source!F91)+N(Source!G91)/60+N(Source!H91)/3600),7))</f>
        <v/>
      </c>
      <c r="E91" s="7" t="str">
        <f>IF(Source!J91="","",ROUND(IF(UPPER(Source!M91)="W",-1,1)*(N(Source!J91)+N(Source!K91)/60+N(Source!L91)/3600),7))</f>
        <v/>
      </c>
      <c r="F91" s="7" t="str">
        <f>SUBSTITUTE(TRIM(Source!N91&amp;" "&amp;Source!O91&amp;" "&amp;Source!P91)," ","/")</f>
        <v/>
      </c>
      <c r="G91" s="7" t="str">
        <f>IF(Source!Q91="","",Source!Q91)</f>
        <v/>
      </c>
      <c r="H91" s="7" t="str">
        <f>IF(Source!R91="","",Source!R91)</f>
        <v/>
      </c>
      <c r="I91" s="7" t="str">
        <f>IF(Source!S91&lt;&gt;"",Source!S91,IF(Source!C91&lt;&gt;"",Source!C91,""))</f>
        <v/>
      </c>
      <c r="J91" s="7" t="str">
        <f>TRIM(Source!T91&amp;" "&amp;Source!U91&amp;" "&amp;IF(Source!V91="","",Source!V91&amp;"s")&amp;" "&amp;IF(Source!W91="","",Source!W91&amp;"M"))</f>
        <v/>
      </c>
      <c r="K91" s="7" t="str">
        <f>IF(Source!X91="","",Source!X91)</f>
        <v/>
      </c>
      <c r="L91" s="7" t="str">
        <f>IF(Source!Y91="","",Source!Y91)</f>
        <v/>
      </c>
      <c r="M91" s="7" t="str">
        <f>IF(Source!Z91="","",Source!Z91)</f>
        <v/>
      </c>
      <c r="N91" s="7" t="str">
        <f>IF(Source!AA91="","",Source!AA91)</f>
        <v/>
      </c>
      <c r="O91" s="7" t="str">
        <f>IF(Source!AB91="","",Source!AB91)</f>
        <v/>
      </c>
      <c r="P91" s="7" t="str">
        <f>IF(Source!AC91="","",Source!AC91)</f>
        <v/>
      </c>
      <c r="Q91" s="7" t="str">
        <f>IF(Source!AD91="","",TEXT(Source!AD91,"000000000"))</f>
        <v/>
      </c>
      <c r="R91" s="7" t="str">
        <f>IF(Source!AE91="","","physical AIS type "&amp;Source!AE91)</f>
        <v/>
      </c>
      <c r="S91" s="7" t="str">
        <f>IF(Source!AF91="","",IF(LEN(Source!AF91)=1,UPPER(Source!AF91),"yes"))</f>
        <v/>
      </c>
      <c r="T91" s="7" t="str">
        <f>IF(Source!AG91="","",Source!AG91)</f>
        <v/>
      </c>
      <c r="U91" s="7" t="str">
        <f>IF(Source!AH91="","",YEAR(Source!AH91)&amp;"-"&amp;TEXT(MONTH(Source!AH91),"00")&amp;"-"&amp;TEXT(DAY(Source!AH91),"00"))</f>
        <v/>
      </c>
      <c r="V91" s="7" t="str">
        <f>IF(Source!AI91="","",IF(OR(UPPER(Source!AI91)="YES",UPPER(Source!AI91)="Y"),"visually conspicuous",IF(OR(UPPER(Source!AI91)="NO",UPPER(Source!AI91)="N"),"not visually conspicuous",Source!AI91)))</f>
        <v/>
      </c>
      <c r="W91" s="7" t="str">
        <f>IF(Source!AJ91="","",Source!AJ91)</f>
        <v/>
      </c>
    </row>
    <row r="92">
      <c r="A92" s="7" t="str">
        <f>IF(Source!A92="","",Source!A92&amp;"")</f>
        <v/>
      </c>
      <c r="B92" s="7" t="str">
        <f>TRIM(Source!C92&amp;" "&amp;Source!B92&amp;" "&amp;Source!D92)</f>
        <v/>
      </c>
      <c r="C92" s="7" t="str">
        <f>IF(Source!E92="","",Source!E92)</f>
        <v/>
      </c>
      <c r="D92" s="7" t="str">
        <f>IF(Source!F92="","",ROUND(IF(UPPER(Source!I92)="S",-1,1)*(N(Source!F92)+N(Source!G92)/60+N(Source!H92)/3600),7))</f>
        <v/>
      </c>
      <c r="E92" s="7" t="str">
        <f>IF(Source!J92="","",ROUND(IF(UPPER(Source!M92)="W",-1,1)*(N(Source!J92)+N(Source!K92)/60+N(Source!L92)/3600),7))</f>
        <v/>
      </c>
      <c r="F92" s="7" t="str">
        <f>SUBSTITUTE(TRIM(Source!N92&amp;" "&amp;Source!O92&amp;" "&amp;Source!P92)," ","/")</f>
        <v/>
      </c>
      <c r="G92" s="7" t="str">
        <f>IF(Source!Q92="","",Source!Q92)</f>
        <v/>
      </c>
      <c r="H92" s="7" t="str">
        <f>IF(Source!R92="","",Source!R92)</f>
        <v/>
      </c>
      <c r="I92" s="7" t="str">
        <f>IF(Source!S92&lt;&gt;"",Source!S92,IF(Source!C92&lt;&gt;"",Source!C92,""))</f>
        <v/>
      </c>
      <c r="J92" s="7" t="str">
        <f>TRIM(Source!T92&amp;" "&amp;Source!U92&amp;" "&amp;IF(Source!V92="","",Source!V92&amp;"s")&amp;" "&amp;IF(Source!W92="","",Source!W92&amp;"M"))</f>
        <v/>
      </c>
      <c r="K92" s="7" t="str">
        <f>IF(Source!X92="","",Source!X92)</f>
        <v/>
      </c>
      <c r="L92" s="7" t="str">
        <f>IF(Source!Y92="","",Source!Y92)</f>
        <v/>
      </c>
      <c r="M92" s="7" t="str">
        <f>IF(Source!Z92="","",Source!Z92)</f>
        <v/>
      </c>
      <c r="N92" s="7" t="str">
        <f>IF(Source!AA92="","",Source!AA92)</f>
        <v/>
      </c>
      <c r="O92" s="7" t="str">
        <f>IF(Source!AB92="","",Source!AB92)</f>
        <v/>
      </c>
      <c r="P92" s="7" t="str">
        <f>IF(Source!AC92="","",Source!AC92)</f>
        <v/>
      </c>
      <c r="Q92" s="7" t="str">
        <f>IF(Source!AD92="","",TEXT(Source!AD92,"000000000"))</f>
        <v/>
      </c>
      <c r="R92" s="7" t="str">
        <f>IF(Source!AE92="","","physical AIS type "&amp;Source!AE92)</f>
        <v/>
      </c>
      <c r="S92" s="7" t="str">
        <f>IF(Source!AF92="","",IF(LEN(Source!AF92)=1,UPPER(Source!AF92),"yes"))</f>
        <v/>
      </c>
      <c r="T92" s="7" t="str">
        <f>IF(Source!AG92="","",Source!AG92)</f>
        <v/>
      </c>
      <c r="U92" s="7" t="str">
        <f>IF(Source!AH92="","",YEAR(Source!AH92)&amp;"-"&amp;TEXT(MONTH(Source!AH92),"00")&amp;"-"&amp;TEXT(DAY(Source!AH92),"00"))</f>
        <v/>
      </c>
      <c r="V92" s="7" t="str">
        <f>IF(Source!AI92="","",IF(OR(UPPER(Source!AI92)="YES",UPPER(Source!AI92)="Y"),"visually conspicuous",IF(OR(UPPER(Source!AI92)="NO",UPPER(Source!AI92)="N"),"not visually conspicuous",Source!AI92)))</f>
        <v/>
      </c>
      <c r="W92" s="7" t="str">
        <f>IF(Source!AJ92="","",Source!AJ92)</f>
        <v/>
      </c>
    </row>
    <row r="93">
      <c r="A93" s="7" t="str">
        <f>IF(Source!A93="","",Source!A93&amp;"")</f>
        <v/>
      </c>
      <c r="B93" s="7" t="str">
        <f>TRIM(Source!C93&amp;" "&amp;Source!B93&amp;" "&amp;Source!D93)</f>
        <v/>
      </c>
      <c r="C93" s="7" t="str">
        <f>IF(Source!E93="","",Source!E93)</f>
        <v/>
      </c>
      <c r="D93" s="7" t="str">
        <f>IF(Source!F93="","",ROUND(IF(UPPER(Source!I93)="S",-1,1)*(N(Source!F93)+N(Source!G93)/60+N(Source!H93)/3600),7))</f>
        <v/>
      </c>
      <c r="E93" s="7" t="str">
        <f>IF(Source!J93="","",ROUND(IF(UPPER(Source!M93)="W",-1,1)*(N(Source!J93)+N(Source!K93)/60+N(Source!L93)/3600),7))</f>
        <v/>
      </c>
      <c r="F93" s="7" t="str">
        <f>SUBSTITUTE(TRIM(Source!N93&amp;" "&amp;Source!O93&amp;" "&amp;Source!P93)," ","/")</f>
        <v/>
      </c>
      <c r="G93" s="7" t="str">
        <f>IF(Source!Q93="","",Source!Q93)</f>
        <v/>
      </c>
      <c r="H93" s="7" t="str">
        <f>IF(Source!R93="","",Source!R93)</f>
        <v/>
      </c>
      <c r="I93" s="7" t="str">
        <f>IF(Source!S93&lt;&gt;"",Source!S93,IF(Source!C93&lt;&gt;"",Source!C93,""))</f>
        <v/>
      </c>
      <c r="J93" s="7" t="str">
        <f>TRIM(Source!T93&amp;" "&amp;Source!U93&amp;" "&amp;IF(Source!V93="","",Source!V93&amp;"s")&amp;" "&amp;IF(Source!W93="","",Source!W93&amp;"M"))</f>
        <v/>
      </c>
      <c r="K93" s="7" t="str">
        <f>IF(Source!X93="","",Source!X93)</f>
        <v/>
      </c>
      <c r="L93" s="7" t="str">
        <f>IF(Source!Y93="","",Source!Y93)</f>
        <v/>
      </c>
      <c r="M93" s="7" t="str">
        <f>IF(Source!Z93="","",Source!Z93)</f>
        <v/>
      </c>
      <c r="N93" s="7" t="str">
        <f>IF(Source!AA93="","",Source!AA93)</f>
        <v/>
      </c>
      <c r="O93" s="7" t="str">
        <f>IF(Source!AB93="","",Source!AB93)</f>
        <v/>
      </c>
      <c r="P93" s="7" t="str">
        <f>IF(Source!AC93="","",Source!AC93)</f>
        <v/>
      </c>
      <c r="Q93" s="7" t="str">
        <f>IF(Source!AD93="","",TEXT(Source!AD93,"000000000"))</f>
        <v/>
      </c>
      <c r="R93" s="7" t="str">
        <f>IF(Source!AE93="","","physical AIS type "&amp;Source!AE93)</f>
        <v/>
      </c>
      <c r="S93" s="7" t="str">
        <f>IF(Source!AF93="","",IF(LEN(Source!AF93)=1,UPPER(Source!AF93),"yes"))</f>
        <v/>
      </c>
      <c r="T93" s="7" t="str">
        <f>IF(Source!AG93="","",Source!AG93)</f>
        <v/>
      </c>
      <c r="U93" s="7" t="str">
        <f>IF(Source!AH93="","",YEAR(Source!AH93)&amp;"-"&amp;TEXT(MONTH(Source!AH93),"00")&amp;"-"&amp;TEXT(DAY(Source!AH93),"00"))</f>
        <v/>
      </c>
      <c r="V93" s="7" t="str">
        <f>IF(Source!AI93="","",IF(OR(UPPER(Source!AI93)="YES",UPPER(Source!AI93)="Y"),"visually conspicuous",IF(OR(UPPER(Source!AI93)="NO",UPPER(Source!AI93)="N"),"not visually conspicuous",Source!AI93)))</f>
        <v/>
      </c>
      <c r="W93" s="7" t="str">
        <f>IF(Source!AJ93="","",Source!AJ93)</f>
        <v/>
      </c>
    </row>
    <row r="94">
      <c r="A94" s="7" t="str">
        <f>IF(Source!A94="","",Source!A94&amp;"")</f>
        <v/>
      </c>
      <c r="B94" s="7" t="str">
        <f>TRIM(Source!C94&amp;" "&amp;Source!B94&amp;" "&amp;Source!D94)</f>
        <v/>
      </c>
      <c r="C94" s="7" t="str">
        <f>IF(Source!E94="","",Source!E94)</f>
        <v/>
      </c>
      <c r="D94" s="7" t="str">
        <f>IF(Source!F94="","",ROUND(IF(UPPER(Source!I94)="S",-1,1)*(N(Source!F94)+N(Source!G94)/60+N(Source!H94)/3600),7))</f>
        <v/>
      </c>
      <c r="E94" s="7" t="str">
        <f>IF(Source!J94="","",ROUND(IF(UPPER(Source!M94)="W",-1,1)*(N(Source!J94)+N(Source!K94)/60+N(Source!L94)/3600),7))</f>
        <v/>
      </c>
      <c r="F94" s="7" t="str">
        <f>SUBSTITUTE(TRIM(Source!N94&amp;" "&amp;Source!O94&amp;" "&amp;Source!P94)," ","/")</f>
        <v/>
      </c>
      <c r="G94" s="7" t="str">
        <f>IF(Source!Q94="","",Source!Q94)</f>
        <v/>
      </c>
      <c r="H94" s="7" t="str">
        <f>IF(Source!R94="","",Source!R94)</f>
        <v/>
      </c>
      <c r="I94" s="7" t="str">
        <f>IF(Source!S94&lt;&gt;"",Source!S94,IF(Source!C94&lt;&gt;"",Source!C94,""))</f>
        <v/>
      </c>
      <c r="J94" s="7" t="str">
        <f>TRIM(Source!T94&amp;" "&amp;Source!U94&amp;" "&amp;IF(Source!V94="","",Source!V94&amp;"s")&amp;" "&amp;IF(Source!W94="","",Source!W94&amp;"M"))</f>
        <v/>
      </c>
      <c r="K94" s="7" t="str">
        <f>IF(Source!X94="","",Source!X94)</f>
        <v/>
      </c>
      <c r="L94" s="7" t="str">
        <f>IF(Source!Y94="","",Source!Y94)</f>
        <v/>
      </c>
      <c r="M94" s="7" t="str">
        <f>IF(Source!Z94="","",Source!Z94)</f>
        <v/>
      </c>
      <c r="N94" s="7" t="str">
        <f>IF(Source!AA94="","",Source!AA94)</f>
        <v/>
      </c>
      <c r="O94" s="7" t="str">
        <f>IF(Source!AB94="","",Source!AB94)</f>
        <v/>
      </c>
      <c r="P94" s="7" t="str">
        <f>IF(Source!AC94="","",Source!AC94)</f>
        <v/>
      </c>
      <c r="Q94" s="7" t="str">
        <f>IF(Source!AD94="","",TEXT(Source!AD94,"000000000"))</f>
        <v/>
      </c>
      <c r="R94" s="7" t="str">
        <f>IF(Source!AE94="","","physical AIS type "&amp;Source!AE94)</f>
        <v/>
      </c>
      <c r="S94" s="7" t="str">
        <f>IF(Source!AF94="","",IF(LEN(Source!AF94)=1,UPPER(Source!AF94),"yes"))</f>
        <v/>
      </c>
      <c r="T94" s="7" t="str">
        <f>IF(Source!AG94="","",Source!AG94)</f>
        <v/>
      </c>
      <c r="U94" s="7" t="str">
        <f>IF(Source!AH94="","",YEAR(Source!AH94)&amp;"-"&amp;TEXT(MONTH(Source!AH94),"00")&amp;"-"&amp;TEXT(DAY(Source!AH94),"00"))</f>
        <v/>
      </c>
      <c r="V94" s="7" t="str">
        <f>IF(Source!AI94="","",IF(OR(UPPER(Source!AI94)="YES",UPPER(Source!AI94)="Y"),"visually conspicuous",IF(OR(UPPER(Source!AI94)="NO",UPPER(Source!AI94)="N"),"not visually conspicuous",Source!AI94)))</f>
        <v/>
      </c>
      <c r="W94" s="7" t="str">
        <f>IF(Source!AJ94="","",Source!AJ94)</f>
        <v/>
      </c>
    </row>
    <row r="95">
      <c r="A95" s="7" t="str">
        <f>IF(Source!A95="","",Source!A95&amp;"")</f>
        <v/>
      </c>
      <c r="B95" s="7" t="str">
        <f>TRIM(Source!C95&amp;" "&amp;Source!B95&amp;" "&amp;Source!D95)</f>
        <v/>
      </c>
      <c r="C95" s="7" t="str">
        <f>IF(Source!E95="","",Source!E95)</f>
        <v/>
      </c>
      <c r="D95" s="7" t="str">
        <f>IF(Source!F95="","",ROUND(IF(UPPER(Source!I95)="S",-1,1)*(N(Source!F95)+N(Source!G95)/60+N(Source!H95)/3600),7))</f>
        <v/>
      </c>
      <c r="E95" s="7" t="str">
        <f>IF(Source!J95="","",ROUND(IF(UPPER(Source!M95)="W",-1,1)*(N(Source!J95)+N(Source!K95)/60+N(Source!L95)/3600),7))</f>
        <v/>
      </c>
      <c r="F95" s="7" t="str">
        <f>SUBSTITUTE(TRIM(Source!N95&amp;" "&amp;Source!O95&amp;" "&amp;Source!P95)," ","/")</f>
        <v/>
      </c>
      <c r="G95" s="7" t="str">
        <f>IF(Source!Q95="","",Source!Q95)</f>
        <v/>
      </c>
      <c r="H95" s="7" t="str">
        <f>IF(Source!R95="","",Source!R95)</f>
        <v/>
      </c>
      <c r="I95" s="7" t="str">
        <f>IF(Source!S95&lt;&gt;"",Source!S95,IF(Source!C95&lt;&gt;"",Source!C95,""))</f>
        <v/>
      </c>
      <c r="J95" s="7" t="str">
        <f>TRIM(Source!T95&amp;" "&amp;Source!U95&amp;" "&amp;IF(Source!V95="","",Source!V95&amp;"s")&amp;" "&amp;IF(Source!W95="","",Source!W95&amp;"M"))</f>
        <v/>
      </c>
      <c r="K95" s="7" t="str">
        <f>IF(Source!X95="","",Source!X95)</f>
        <v/>
      </c>
      <c r="L95" s="7" t="str">
        <f>IF(Source!Y95="","",Source!Y95)</f>
        <v/>
      </c>
      <c r="M95" s="7" t="str">
        <f>IF(Source!Z95="","",Source!Z95)</f>
        <v/>
      </c>
      <c r="N95" s="7" t="str">
        <f>IF(Source!AA95="","",Source!AA95)</f>
        <v/>
      </c>
      <c r="O95" s="7" t="str">
        <f>IF(Source!AB95="","",Source!AB95)</f>
        <v/>
      </c>
      <c r="P95" s="7" t="str">
        <f>IF(Source!AC95="","",Source!AC95)</f>
        <v/>
      </c>
      <c r="Q95" s="7" t="str">
        <f>IF(Source!AD95="","",TEXT(Source!AD95,"000000000"))</f>
        <v/>
      </c>
      <c r="R95" s="7" t="str">
        <f>IF(Source!AE95="","","physical AIS type "&amp;Source!AE95)</f>
        <v/>
      </c>
      <c r="S95" s="7" t="str">
        <f>IF(Source!AF95="","",IF(LEN(Source!AF95)=1,UPPER(Source!AF95),"yes"))</f>
        <v/>
      </c>
      <c r="T95" s="7" t="str">
        <f>IF(Source!AG95="","",Source!AG95)</f>
        <v/>
      </c>
      <c r="U95" s="7" t="str">
        <f>IF(Source!AH95="","",YEAR(Source!AH95)&amp;"-"&amp;TEXT(MONTH(Source!AH95),"00")&amp;"-"&amp;TEXT(DAY(Source!AH95),"00"))</f>
        <v/>
      </c>
      <c r="V95" s="7" t="str">
        <f>IF(Source!AI95="","",IF(OR(UPPER(Source!AI95)="YES",UPPER(Source!AI95)="Y"),"visually conspicuous",IF(OR(UPPER(Source!AI95)="NO",UPPER(Source!AI95)="N"),"not visually conspicuous",Source!AI95)))</f>
        <v/>
      </c>
      <c r="W95" s="7" t="str">
        <f>IF(Source!AJ95="","",Source!AJ95)</f>
        <v/>
      </c>
    </row>
    <row r="96">
      <c r="A96" s="7" t="str">
        <f>IF(Source!A96="","",Source!A96&amp;"")</f>
        <v/>
      </c>
      <c r="B96" s="7" t="str">
        <f>TRIM(Source!C96&amp;" "&amp;Source!B96&amp;" "&amp;Source!D96)</f>
        <v/>
      </c>
      <c r="C96" s="7" t="str">
        <f>IF(Source!E96="","",Source!E96)</f>
        <v/>
      </c>
      <c r="D96" s="7" t="str">
        <f>IF(Source!F96="","",ROUND(IF(UPPER(Source!I96)="S",-1,1)*(N(Source!F96)+N(Source!G96)/60+N(Source!H96)/3600),7))</f>
        <v/>
      </c>
      <c r="E96" s="7" t="str">
        <f>IF(Source!J96="","",ROUND(IF(UPPER(Source!M96)="W",-1,1)*(N(Source!J96)+N(Source!K96)/60+N(Source!L96)/3600),7))</f>
        <v/>
      </c>
      <c r="F96" s="7" t="str">
        <f>SUBSTITUTE(TRIM(Source!N96&amp;" "&amp;Source!O96&amp;" "&amp;Source!P96)," ","/")</f>
        <v/>
      </c>
      <c r="G96" s="7" t="str">
        <f>IF(Source!Q96="","",Source!Q96)</f>
        <v/>
      </c>
      <c r="H96" s="7" t="str">
        <f>IF(Source!R96="","",Source!R96)</f>
        <v/>
      </c>
      <c r="I96" s="7" t="str">
        <f>IF(Source!S96&lt;&gt;"",Source!S96,IF(Source!C96&lt;&gt;"",Source!C96,""))</f>
        <v/>
      </c>
      <c r="J96" s="7" t="str">
        <f>TRIM(Source!T96&amp;" "&amp;Source!U96&amp;" "&amp;IF(Source!V96="","",Source!V96&amp;"s")&amp;" "&amp;IF(Source!W96="","",Source!W96&amp;"M"))</f>
        <v/>
      </c>
      <c r="K96" s="7" t="str">
        <f>IF(Source!X96="","",Source!X96)</f>
        <v/>
      </c>
      <c r="L96" s="7" t="str">
        <f>IF(Source!Y96="","",Source!Y96)</f>
        <v/>
      </c>
      <c r="M96" s="7" t="str">
        <f>IF(Source!Z96="","",Source!Z96)</f>
        <v/>
      </c>
      <c r="N96" s="7" t="str">
        <f>IF(Source!AA96="","",Source!AA96)</f>
        <v/>
      </c>
      <c r="O96" s="7" t="str">
        <f>IF(Source!AB96="","",Source!AB96)</f>
        <v/>
      </c>
      <c r="P96" s="7" t="str">
        <f>IF(Source!AC96="","",Source!AC96)</f>
        <v/>
      </c>
      <c r="Q96" s="7" t="str">
        <f>IF(Source!AD96="","",TEXT(Source!AD96,"000000000"))</f>
        <v/>
      </c>
      <c r="R96" s="7" t="str">
        <f>IF(Source!AE96="","","physical AIS type "&amp;Source!AE96)</f>
        <v/>
      </c>
      <c r="S96" s="7" t="str">
        <f>IF(Source!AF96="","",IF(LEN(Source!AF96)=1,UPPER(Source!AF96),"yes"))</f>
        <v/>
      </c>
      <c r="T96" s="7" t="str">
        <f>IF(Source!AG96="","",Source!AG96)</f>
        <v/>
      </c>
      <c r="U96" s="7" t="str">
        <f>IF(Source!AH96="","",YEAR(Source!AH96)&amp;"-"&amp;TEXT(MONTH(Source!AH96),"00")&amp;"-"&amp;TEXT(DAY(Source!AH96),"00"))</f>
        <v/>
      </c>
      <c r="V96" s="7" t="str">
        <f>IF(Source!AI96="","",IF(OR(UPPER(Source!AI96)="YES",UPPER(Source!AI96)="Y"),"visually conspicuous",IF(OR(UPPER(Source!AI96)="NO",UPPER(Source!AI96)="N"),"not visually conspicuous",Source!AI96)))</f>
        <v/>
      </c>
      <c r="W96" s="7" t="str">
        <f>IF(Source!AJ96="","",Source!AJ96)</f>
        <v/>
      </c>
    </row>
    <row r="97">
      <c r="A97" s="7" t="str">
        <f>IF(Source!A97="","",Source!A97&amp;"")</f>
        <v/>
      </c>
      <c r="B97" s="7" t="str">
        <f>TRIM(Source!C97&amp;" "&amp;Source!B97&amp;" "&amp;Source!D97)</f>
        <v/>
      </c>
      <c r="C97" s="7" t="str">
        <f>IF(Source!E97="","",Source!E97)</f>
        <v/>
      </c>
      <c r="D97" s="7" t="str">
        <f>IF(Source!F97="","",ROUND(IF(UPPER(Source!I97)="S",-1,1)*(N(Source!F97)+N(Source!G97)/60+N(Source!H97)/3600),7))</f>
        <v/>
      </c>
      <c r="E97" s="7" t="str">
        <f>IF(Source!J97="","",ROUND(IF(UPPER(Source!M97)="W",-1,1)*(N(Source!J97)+N(Source!K97)/60+N(Source!L97)/3600),7))</f>
        <v/>
      </c>
      <c r="F97" s="7" t="str">
        <f>SUBSTITUTE(TRIM(Source!N97&amp;" "&amp;Source!O97&amp;" "&amp;Source!P97)," ","/")</f>
        <v/>
      </c>
      <c r="G97" s="7" t="str">
        <f>IF(Source!Q97="","",Source!Q97)</f>
        <v/>
      </c>
      <c r="H97" s="7" t="str">
        <f>IF(Source!R97="","",Source!R97)</f>
        <v/>
      </c>
      <c r="I97" s="7" t="str">
        <f>IF(Source!S97&lt;&gt;"",Source!S97,IF(Source!C97&lt;&gt;"",Source!C97,""))</f>
        <v/>
      </c>
      <c r="J97" s="7" t="str">
        <f>TRIM(Source!T97&amp;" "&amp;Source!U97&amp;" "&amp;IF(Source!V97="","",Source!V97&amp;"s")&amp;" "&amp;IF(Source!W97="","",Source!W97&amp;"M"))</f>
        <v/>
      </c>
      <c r="K97" s="7" t="str">
        <f>IF(Source!X97="","",Source!X97)</f>
        <v/>
      </c>
      <c r="L97" s="7" t="str">
        <f>IF(Source!Y97="","",Source!Y97)</f>
        <v/>
      </c>
      <c r="M97" s="7" t="str">
        <f>IF(Source!Z97="","",Source!Z97)</f>
        <v/>
      </c>
      <c r="N97" s="7" t="str">
        <f>IF(Source!AA97="","",Source!AA97)</f>
        <v/>
      </c>
      <c r="O97" s="7" t="str">
        <f>IF(Source!AB97="","",Source!AB97)</f>
        <v/>
      </c>
      <c r="P97" s="7" t="str">
        <f>IF(Source!AC97="","",Source!AC97)</f>
        <v/>
      </c>
      <c r="Q97" s="7" t="str">
        <f>IF(Source!AD97="","",TEXT(Source!AD97,"000000000"))</f>
        <v/>
      </c>
      <c r="R97" s="7" t="str">
        <f>IF(Source!AE97="","","physical AIS type "&amp;Source!AE97)</f>
        <v/>
      </c>
      <c r="S97" s="7" t="str">
        <f>IF(Source!AF97="","",IF(LEN(Source!AF97)=1,UPPER(Source!AF97),"yes"))</f>
        <v/>
      </c>
      <c r="T97" s="7" t="str">
        <f>IF(Source!AG97="","",Source!AG97)</f>
        <v/>
      </c>
      <c r="U97" s="7" t="str">
        <f>IF(Source!AH97="","",YEAR(Source!AH97)&amp;"-"&amp;TEXT(MONTH(Source!AH97),"00")&amp;"-"&amp;TEXT(DAY(Source!AH97),"00"))</f>
        <v/>
      </c>
      <c r="V97" s="7" t="str">
        <f>IF(Source!AI97="","",IF(OR(UPPER(Source!AI97)="YES",UPPER(Source!AI97)="Y"),"visually conspicuous",IF(OR(UPPER(Source!AI97)="NO",UPPER(Source!AI97)="N"),"not visually conspicuous",Source!AI97)))</f>
        <v/>
      </c>
      <c r="W97" s="7" t="str">
        <f>IF(Source!AJ97="","",Source!AJ97)</f>
        <v/>
      </c>
    </row>
    <row r="98">
      <c r="A98" s="7" t="str">
        <f>IF(Source!A98="","",Source!A98&amp;"")</f>
        <v/>
      </c>
      <c r="B98" s="7" t="str">
        <f>TRIM(Source!C98&amp;" "&amp;Source!B98&amp;" "&amp;Source!D98)</f>
        <v/>
      </c>
      <c r="C98" s="7" t="str">
        <f>IF(Source!E98="","",Source!E98)</f>
        <v/>
      </c>
      <c r="D98" s="7" t="str">
        <f>IF(Source!F98="","",ROUND(IF(UPPER(Source!I98)="S",-1,1)*(N(Source!F98)+N(Source!G98)/60+N(Source!H98)/3600),7))</f>
        <v/>
      </c>
      <c r="E98" s="7" t="str">
        <f>IF(Source!J98="","",ROUND(IF(UPPER(Source!M98)="W",-1,1)*(N(Source!J98)+N(Source!K98)/60+N(Source!L98)/3600),7))</f>
        <v/>
      </c>
      <c r="F98" s="7" t="str">
        <f>SUBSTITUTE(TRIM(Source!N98&amp;" "&amp;Source!O98&amp;" "&amp;Source!P98)," ","/")</f>
        <v/>
      </c>
      <c r="G98" s="7" t="str">
        <f>IF(Source!Q98="","",Source!Q98)</f>
        <v/>
      </c>
      <c r="H98" s="7" t="str">
        <f>IF(Source!R98="","",Source!R98)</f>
        <v/>
      </c>
      <c r="I98" s="7" t="str">
        <f>IF(Source!S98&lt;&gt;"",Source!S98,IF(Source!C98&lt;&gt;"",Source!C98,""))</f>
        <v/>
      </c>
      <c r="J98" s="7" t="str">
        <f>TRIM(Source!T98&amp;" "&amp;Source!U98&amp;" "&amp;IF(Source!V98="","",Source!V98&amp;"s")&amp;" "&amp;IF(Source!W98="","",Source!W98&amp;"M"))</f>
        <v/>
      </c>
      <c r="K98" s="7" t="str">
        <f>IF(Source!X98="","",Source!X98)</f>
        <v/>
      </c>
      <c r="L98" s="7" t="str">
        <f>IF(Source!Y98="","",Source!Y98)</f>
        <v/>
      </c>
      <c r="M98" s="7" t="str">
        <f>IF(Source!Z98="","",Source!Z98)</f>
        <v/>
      </c>
      <c r="N98" s="7" t="str">
        <f>IF(Source!AA98="","",Source!AA98)</f>
        <v/>
      </c>
      <c r="O98" s="7" t="str">
        <f>IF(Source!AB98="","",Source!AB98)</f>
        <v/>
      </c>
      <c r="P98" s="7" t="str">
        <f>IF(Source!AC98="","",Source!AC98)</f>
        <v/>
      </c>
      <c r="Q98" s="7" t="str">
        <f>IF(Source!AD98="","",TEXT(Source!AD98,"000000000"))</f>
        <v/>
      </c>
      <c r="R98" s="7" t="str">
        <f>IF(Source!AE98="","","physical AIS type "&amp;Source!AE98)</f>
        <v/>
      </c>
      <c r="S98" s="7" t="str">
        <f>IF(Source!AF98="","",IF(LEN(Source!AF98)=1,UPPER(Source!AF98),"yes"))</f>
        <v/>
      </c>
      <c r="T98" s="7" t="str">
        <f>IF(Source!AG98="","",Source!AG98)</f>
        <v/>
      </c>
      <c r="U98" s="7" t="str">
        <f>IF(Source!AH98="","",YEAR(Source!AH98)&amp;"-"&amp;TEXT(MONTH(Source!AH98),"00")&amp;"-"&amp;TEXT(DAY(Source!AH98),"00"))</f>
        <v/>
      </c>
      <c r="V98" s="7" t="str">
        <f>IF(Source!AI98="","",IF(OR(UPPER(Source!AI98)="YES",UPPER(Source!AI98)="Y"),"visually conspicuous",IF(OR(UPPER(Source!AI98)="NO",UPPER(Source!AI98)="N"),"not visually conspicuous",Source!AI98)))</f>
        <v/>
      </c>
      <c r="W98" s="7" t="str">
        <f>IF(Source!AJ98="","",Source!AJ98)</f>
        <v/>
      </c>
    </row>
    <row r="99">
      <c r="A99" s="7" t="str">
        <f>IF(Source!A99="","",Source!A99&amp;"")</f>
        <v/>
      </c>
      <c r="B99" s="7" t="str">
        <f>TRIM(Source!C99&amp;" "&amp;Source!B99&amp;" "&amp;Source!D99)</f>
        <v/>
      </c>
      <c r="C99" s="7" t="str">
        <f>IF(Source!E99="","",Source!E99)</f>
        <v/>
      </c>
      <c r="D99" s="7" t="str">
        <f>IF(Source!F99="","",ROUND(IF(UPPER(Source!I99)="S",-1,1)*(N(Source!F99)+N(Source!G99)/60+N(Source!H99)/3600),7))</f>
        <v/>
      </c>
      <c r="E99" s="7" t="str">
        <f>IF(Source!J99="","",ROUND(IF(UPPER(Source!M99)="W",-1,1)*(N(Source!J99)+N(Source!K99)/60+N(Source!L99)/3600),7))</f>
        <v/>
      </c>
      <c r="F99" s="7" t="str">
        <f>SUBSTITUTE(TRIM(Source!N99&amp;" "&amp;Source!O99&amp;" "&amp;Source!P99)," ","/")</f>
        <v/>
      </c>
      <c r="G99" s="7" t="str">
        <f>IF(Source!Q99="","",Source!Q99)</f>
        <v/>
      </c>
      <c r="H99" s="7" t="str">
        <f>IF(Source!R99="","",Source!R99)</f>
        <v/>
      </c>
      <c r="I99" s="7" t="str">
        <f>IF(Source!S99&lt;&gt;"",Source!S99,IF(Source!C99&lt;&gt;"",Source!C99,""))</f>
        <v/>
      </c>
      <c r="J99" s="7" t="str">
        <f>TRIM(Source!T99&amp;" "&amp;Source!U99&amp;" "&amp;IF(Source!V99="","",Source!V99&amp;"s")&amp;" "&amp;IF(Source!W99="","",Source!W99&amp;"M"))</f>
        <v/>
      </c>
      <c r="K99" s="7" t="str">
        <f>IF(Source!X99="","",Source!X99)</f>
        <v/>
      </c>
      <c r="L99" s="7" t="str">
        <f>IF(Source!Y99="","",Source!Y99)</f>
        <v/>
      </c>
      <c r="M99" s="7" t="str">
        <f>IF(Source!Z99="","",Source!Z99)</f>
        <v/>
      </c>
      <c r="N99" s="7" t="str">
        <f>IF(Source!AA99="","",Source!AA99)</f>
        <v/>
      </c>
      <c r="O99" s="7" t="str">
        <f>IF(Source!AB99="","",Source!AB99)</f>
        <v/>
      </c>
      <c r="P99" s="7" t="str">
        <f>IF(Source!AC99="","",Source!AC99)</f>
        <v/>
      </c>
      <c r="Q99" s="7" t="str">
        <f>IF(Source!AD99="","",TEXT(Source!AD99,"000000000"))</f>
        <v/>
      </c>
      <c r="R99" s="7" t="str">
        <f>IF(Source!AE99="","","physical AIS type "&amp;Source!AE99)</f>
        <v/>
      </c>
      <c r="S99" s="7" t="str">
        <f>IF(Source!AF99="","",IF(LEN(Source!AF99)=1,UPPER(Source!AF99),"yes"))</f>
        <v/>
      </c>
      <c r="T99" s="7" t="str">
        <f>IF(Source!AG99="","",Source!AG99)</f>
        <v/>
      </c>
      <c r="U99" s="7" t="str">
        <f>IF(Source!AH99="","",YEAR(Source!AH99)&amp;"-"&amp;TEXT(MONTH(Source!AH99),"00")&amp;"-"&amp;TEXT(DAY(Source!AH99),"00"))</f>
        <v/>
      </c>
      <c r="V99" s="7" t="str">
        <f>IF(Source!AI99="","",IF(OR(UPPER(Source!AI99)="YES",UPPER(Source!AI99)="Y"),"visually conspicuous",IF(OR(UPPER(Source!AI99)="NO",UPPER(Source!AI99)="N"),"not visually conspicuous",Source!AI99)))</f>
        <v/>
      </c>
      <c r="W99" s="7" t="str">
        <f>IF(Source!AJ99="","",Source!AJ99)</f>
        <v/>
      </c>
    </row>
    <row r="100">
      <c r="A100" s="7" t="str">
        <f>IF(Source!A100="","",Source!A100&amp;"")</f>
        <v/>
      </c>
      <c r="B100" s="7" t="str">
        <f>TRIM(Source!C100&amp;" "&amp;Source!B100&amp;" "&amp;Source!D100)</f>
        <v/>
      </c>
      <c r="C100" s="7" t="str">
        <f>IF(Source!E100="","",Source!E100)</f>
        <v/>
      </c>
      <c r="D100" s="7" t="str">
        <f>IF(Source!F100="","",ROUND(IF(UPPER(Source!I100)="S",-1,1)*(N(Source!F100)+N(Source!G100)/60+N(Source!H100)/3600),7))</f>
        <v/>
      </c>
      <c r="E100" s="7" t="str">
        <f>IF(Source!J100="","",ROUND(IF(UPPER(Source!M100)="W",-1,1)*(N(Source!J100)+N(Source!K100)/60+N(Source!L100)/3600),7))</f>
        <v/>
      </c>
      <c r="F100" s="7" t="str">
        <f>SUBSTITUTE(TRIM(Source!N100&amp;" "&amp;Source!O100&amp;" "&amp;Source!P100)," ","/")</f>
        <v/>
      </c>
      <c r="G100" s="7" t="str">
        <f>IF(Source!Q100="","",Source!Q100)</f>
        <v/>
      </c>
      <c r="H100" s="7" t="str">
        <f>IF(Source!R100="","",Source!R100)</f>
        <v/>
      </c>
      <c r="I100" s="7" t="str">
        <f>IF(Source!S100&lt;&gt;"",Source!S100,IF(Source!C100&lt;&gt;"",Source!C100,""))</f>
        <v/>
      </c>
      <c r="J100" s="7" t="str">
        <f>TRIM(Source!T100&amp;" "&amp;Source!U100&amp;" "&amp;IF(Source!V100="","",Source!V100&amp;"s")&amp;" "&amp;IF(Source!W100="","",Source!W100&amp;"M"))</f>
        <v/>
      </c>
      <c r="K100" s="7" t="str">
        <f>IF(Source!X100="","",Source!X100)</f>
        <v/>
      </c>
      <c r="L100" s="7" t="str">
        <f>IF(Source!Y100="","",Source!Y100)</f>
        <v/>
      </c>
      <c r="M100" s="7" t="str">
        <f>IF(Source!Z100="","",Source!Z100)</f>
        <v/>
      </c>
      <c r="N100" s="7" t="str">
        <f>IF(Source!AA100="","",Source!AA100)</f>
        <v/>
      </c>
      <c r="O100" s="7" t="str">
        <f>IF(Source!AB100="","",Source!AB100)</f>
        <v/>
      </c>
      <c r="P100" s="7" t="str">
        <f>IF(Source!AC100="","",Source!AC100)</f>
        <v/>
      </c>
      <c r="Q100" s="7" t="str">
        <f>IF(Source!AD100="","",TEXT(Source!AD100,"000000000"))</f>
        <v/>
      </c>
      <c r="R100" s="7" t="str">
        <f>IF(Source!AE100="","","physical AIS type "&amp;Source!AE100)</f>
        <v/>
      </c>
      <c r="S100" s="7" t="str">
        <f>IF(Source!AF100="","",IF(LEN(Source!AF100)=1,UPPER(Source!AF100),"yes"))</f>
        <v/>
      </c>
      <c r="T100" s="7" t="str">
        <f>IF(Source!AG100="","",Source!AG100)</f>
        <v/>
      </c>
      <c r="U100" s="7" t="str">
        <f>IF(Source!AH100="","",YEAR(Source!AH100)&amp;"-"&amp;TEXT(MONTH(Source!AH100),"00")&amp;"-"&amp;TEXT(DAY(Source!AH100),"00"))</f>
        <v/>
      </c>
      <c r="V100" s="7" t="str">
        <f>IF(Source!AI100="","",IF(OR(UPPER(Source!AI100)="YES",UPPER(Source!AI100)="Y"),"visually conspicuous",IF(OR(UPPER(Source!AI100)="NO",UPPER(Source!AI100)="N"),"not visually conspicuous",Source!AI100)))</f>
        <v/>
      </c>
      <c r="W100" s="7" t="str">
        <f>IF(Source!AJ100="","",Source!AJ100)</f>
        <v/>
      </c>
    </row>
    <row r="101">
      <c r="A101" s="7" t="str">
        <f>IF(Source!A101="","",Source!A101&amp;"")</f>
        <v/>
      </c>
      <c r="B101" s="7" t="str">
        <f>TRIM(Source!C101&amp;" "&amp;Source!B101&amp;" "&amp;Source!D101)</f>
        <v/>
      </c>
      <c r="C101" s="7" t="str">
        <f>IF(Source!E101="","",Source!E101)</f>
        <v/>
      </c>
      <c r="D101" s="7" t="str">
        <f>IF(Source!F101="","",ROUND(IF(UPPER(Source!I101)="S",-1,1)*(N(Source!F101)+N(Source!G101)/60+N(Source!H101)/3600),7))</f>
        <v/>
      </c>
      <c r="E101" s="7" t="str">
        <f>IF(Source!J101="","",ROUND(IF(UPPER(Source!M101)="W",-1,1)*(N(Source!J101)+N(Source!K101)/60+N(Source!L101)/3600),7))</f>
        <v/>
      </c>
      <c r="F101" s="7" t="str">
        <f>SUBSTITUTE(TRIM(Source!N101&amp;" "&amp;Source!O101&amp;" "&amp;Source!P101)," ","/")</f>
        <v/>
      </c>
      <c r="G101" s="7" t="str">
        <f>IF(Source!Q101="","",Source!Q101)</f>
        <v/>
      </c>
      <c r="H101" s="7" t="str">
        <f>IF(Source!R101="","",Source!R101)</f>
        <v/>
      </c>
      <c r="I101" s="7" t="str">
        <f>IF(Source!S101&lt;&gt;"",Source!S101,IF(Source!C101&lt;&gt;"",Source!C101,""))</f>
        <v/>
      </c>
      <c r="J101" s="7" t="str">
        <f>TRIM(Source!T101&amp;" "&amp;Source!U101&amp;" "&amp;IF(Source!V101="","",Source!V101&amp;"s")&amp;" "&amp;IF(Source!W101="","",Source!W101&amp;"M"))</f>
        <v/>
      </c>
      <c r="K101" s="7" t="str">
        <f>IF(Source!X101="","",Source!X101)</f>
        <v/>
      </c>
      <c r="L101" s="7" t="str">
        <f>IF(Source!Y101="","",Source!Y101)</f>
        <v/>
      </c>
      <c r="M101" s="7" t="str">
        <f>IF(Source!Z101="","",Source!Z101)</f>
        <v/>
      </c>
      <c r="N101" s="7" t="str">
        <f>IF(Source!AA101="","",Source!AA101)</f>
        <v/>
      </c>
      <c r="O101" s="7" t="str">
        <f>IF(Source!AB101="","",Source!AB101)</f>
        <v/>
      </c>
      <c r="P101" s="7" t="str">
        <f>IF(Source!AC101="","",Source!AC101)</f>
        <v/>
      </c>
      <c r="Q101" s="7" t="str">
        <f>IF(Source!AD101="","",TEXT(Source!AD101,"000000000"))</f>
        <v/>
      </c>
      <c r="R101" s="7" t="str">
        <f>IF(Source!AE101="","","physical AIS type "&amp;Source!AE101)</f>
        <v/>
      </c>
      <c r="S101" s="7" t="str">
        <f>IF(Source!AF101="","",IF(LEN(Source!AF101)=1,UPPER(Source!AF101),"yes"))</f>
        <v/>
      </c>
      <c r="T101" s="7" t="str">
        <f>IF(Source!AG101="","",Source!AG101)</f>
        <v/>
      </c>
      <c r="U101" s="7" t="str">
        <f>IF(Source!AH101="","",YEAR(Source!AH101)&amp;"-"&amp;TEXT(MONTH(Source!AH101),"00")&amp;"-"&amp;TEXT(DAY(Source!AH101),"00"))</f>
        <v/>
      </c>
      <c r="V101" s="7" t="str">
        <f>IF(Source!AI101="","",IF(OR(UPPER(Source!AI101)="YES",UPPER(Source!AI101)="Y"),"visually conspicuous",IF(OR(UPPER(Source!AI101)="NO",UPPER(Source!AI101)="N"),"not visually conspicuous",Source!AI101)))</f>
        <v/>
      </c>
      <c r="W101" s="7" t="str">
        <f>IF(Source!AJ101="","",Source!AJ101)</f>
        <v/>
      </c>
    </row>
    <row r="102">
      <c r="A102" s="7" t="str">
        <f>IF(Source!A102="","",Source!A102&amp;"")</f>
        <v/>
      </c>
      <c r="B102" s="7" t="str">
        <f>TRIM(Source!C102&amp;" "&amp;Source!B102&amp;" "&amp;Source!D102)</f>
        <v/>
      </c>
      <c r="C102" s="7" t="str">
        <f>IF(Source!E102="","",Source!E102)</f>
        <v/>
      </c>
      <c r="D102" s="7" t="str">
        <f>IF(Source!F102="","",ROUND(IF(UPPER(Source!I102)="S",-1,1)*(N(Source!F102)+N(Source!G102)/60+N(Source!H102)/3600),7))</f>
        <v/>
      </c>
      <c r="E102" s="7" t="str">
        <f>IF(Source!J102="","",ROUND(IF(UPPER(Source!M102)="W",-1,1)*(N(Source!J102)+N(Source!K102)/60+N(Source!L102)/3600),7))</f>
        <v/>
      </c>
      <c r="F102" s="7" t="str">
        <f>SUBSTITUTE(TRIM(Source!N102&amp;" "&amp;Source!O102&amp;" "&amp;Source!P102)," ","/")</f>
        <v/>
      </c>
      <c r="G102" s="7" t="str">
        <f>IF(Source!Q102="","",Source!Q102)</f>
        <v/>
      </c>
      <c r="H102" s="7" t="str">
        <f>IF(Source!R102="","",Source!R102)</f>
        <v/>
      </c>
      <c r="I102" s="7" t="str">
        <f>IF(Source!S102&lt;&gt;"",Source!S102,IF(Source!C102&lt;&gt;"",Source!C102,""))</f>
        <v/>
      </c>
      <c r="J102" s="7" t="str">
        <f>TRIM(Source!T102&amp;" "&amp;Source!U102&amp;" "&amp;IF(Source!V102="","",Source!V102&amp;"s")&amp;" "&amp;IF(Source!W102="","",Source!W102&amp;"M"))</f>
        <v/>
      </c>
      <c r="K102" s="7" t="str">
        <f>IF(Source!X102="","",Source!X102)</f>
        <v/>
      </c>
      <c r="L102" s="7" t="str">
        <f>IF(Source!Y102="","",Source!Y102)</f>
        <v/>
      </c>
      <c r="M102" s="7" t="str">
        <f>IF(Source!Z102="","",Source!Z102)</f>
        <v/>
      </c>
      <c r="N102" s="7" t="str">
        <f>IF(Source!AA102="","",Source!AA102)</f>
        <v/>
      </c>
      <c r="O102" s="7" t="str">
        <f>IF(Source!AB102="","",Source!AB102)</f>
        <v/>
      </c>
      <c r="P102" s="7" t="str">
        <f>IF(Source!AC102="","",Source!AC102)</f>
        <v/>
      </c>
      <c r="Q102" s="7" t="str">
        <f>IF(Source!AD102="","",TEXT(Source!AD102,"000000000"))</f>
        <v/>
      </c>
      <c r="R102" s="7" t="str">
        <f>IF(Source!AE102="","","physical AIS type "&amp;Source!AE102)</f>
        <v/>
      </c>
      <c r="S102" s="7" t="str">
        <f>IF(Source!AF102="","",IF(LEN(Source!AF102)=1,UPPER(Source!AF102),"yes"))</f>
        <v/>
      </c>
      <c r="T102" s="7" t="str">
        <f>IF(Source!AG102="","",Source!AG102)</f>
        <v/>
      </c>
      <c r="U102" s="7" t="str">
        <f>IF(Source!AH102="","",YEAR(Source!AH102)&amp;"-"&amp;TEXT(MONTH(Source!AH102),"00")&amp;"-"&amp;TEXT(DAY(Source!AH102),"00"))</f>
        <v/>
      </c>
      <c r="V102" s="7" t="str">
        <f>IF(Source!AI102="","",IF(OR(UPPER(Source!AI102)="YES",UPPER(Source!AI102)="Y"),"visually conspicuous",IF(OR(UPPER(Source!AI102)="NO",UPPER(Source!AI102)="N"),"not visually conspicuous",Source!AI102)))</f>
        <v/>
      </c>
      <c r="W102" s="7" t="str">
        <f>IF(Source!AJ102="","",Source!AJ102)</f>
        <v/>
      </c>
    </row>
    <row r="103">
      <c r="A103" s="7" t="str">
        <f>IF(Source!A103="","",Source!A103&amp;"")</f>
        <v/>
      </c>
      <c r="B103" s="7" t="str">
        <f>TRIM(Source!C103&amp;" "&amp;Source!B103&amp;" "&amp;Source!D103)</f>
        <v/>
      </c>
      <c r="C103" s="7" t="str">
        <f>IF(Source!E103="","",Source!E103)</f>
        <v/>
      </c>
      <c r="D103" s="7" t="str">
        <f>IF(Source!F103="","",ROUND(IF(UPPER(Source!I103)="S",-1,1)*(N(Source!F103)+N(Source!G103)/60+N(Source!H103)/3600),7))</f>
        <v/>
      </c>
      <c r="E103" s="7" t="str">
        <f>IF(Source!J103="","",ROUND(IF(UPPER(Source!M103)="W",-1,1)*(N(Source!J103)+N(Source!K103)/60+N(Source!L103)/3600),7))</f>
        <v/>
      </c>
      <c r="F103" s="7" t="str">
        <f>SUBSTITUTE(TRIM(Source!N103&amp;" "&amp;Source!O103&amp;" "&amp;Source!P103)," ","/")</f>
        <v/>
      </c>
      <c r="G103" s="7" t="str">
        <f>IF(Source!Q103="","",Source!Q103)</f>
        <v/>
      </c>
      <c r="H103" s="7" t="str">
        <f>IF(Source!R103="","",Source!R103)</f>
        <v/>
      </c>
      <c r="I103" s="7" t="str">
        <f>IF(Source!S103&lt;&gt;"",Source!S103,IF(Source!C103&lt;&gt;"",Source!C103,""))</f>
        <v/>
      </c>
      <c r="J103" s="7" t="str">
        <f>TRIM(Source!T103&amp;" "&amp;Source!U103&amp;" "&amp;IF(Source!V103="","",Source!V103&amp;"s")&amp;" "&amp;IF(Source!W103="","",Source!W103&amp;"M"))</f>
        <v/>
      </c>
      <c r="K103" s="7" t="str">
        <f>IF(Source!X103="","",Source!X103)</f>
        <v/>
      </c>
      <c r="L103" s="7" t="str">
        <f>IF(Source!Y103="","",Source!Y103)</f>
        <v/>
      </c>
      <c r="M103" s="7" t="str">
        <f>IF(Source!Z103="","",Source!Z103)</f>
        <v/>
      </c>
      <c r="N103" s="7" t="str">
        <f>IF(Source!AA103="","",Source!AA103)</f>
        <v/>
      </c>
      <c r="O103" s="7" t="str">
        <f>IF(Source!AB103="","",Source!AB103)</f>
        <v/>
      </c>
      <c r="P103" s="7" t="str">
        <f>IF(Source!AC103="","",Source!AC103)</f>
        <v/>
      </c>
      <c r="Q103" s="7" t="str">
        <f>IF(Source!AD103="","",TEXT(Source!AD103,"000000000"))</f>
        <v/>
      </c>
      <c r="R103" s="7" t="str">
        <f>IF(Source!AE103="","","physical AIS type "&amp;Source!AE103)</f>
        <v/>
      </c>
      <c r="S103" s="7" t="str">
        <f>IF(Source!AF103="","",IF(LEN(Source!AF103)=1,UPPER(Source!AF103),"yes"))</f>
        <v/>
      </c>
      <c r="T103" s="7" t="str">
        <f>IF(Source!AG103="","",Source!AG103)</f>
        <v/>
      </c>
      <c r="U103" s="7" t="str">
        <f>IF(Source!AH103="","",YEAR(Source!AH103)&amp;"-"&amp;TEXT(MONTH(Source!AH103),"00")&amp;"-"&amp;TEXT(DAY(Source!AH103),"00"))</f>
        <v/>
      </c>
      <c r="V103" s="7" t="str">
        <f>IF(Source!AI103="","",IF(OR(UPPER(Source!AI103)="YES",UPPER(Source!AI103)="Y"),"visually conspicuous",IF(OR(UPPER(Source!AI103)="NO",UPPER(Source!AI103)="N"),"not visually conspicuous",Source!AI103)))</f>
        <v/>
      </c>
      <c r="W103" s="7" t="str">
        <f>IF(Source!AJ103="","",Source!AJ103)</f>
        <v/>
      </c>
    </row>
    <row r="104">
      <c r="A104" s="7" t="str">
        <f>IF(Source!A104="","",Source!A104&amp;"")</f>
        <v/>
      </c>
      <c r="B104" s="7" t="str">
        <f>TRIM(Source!C104&amp;" "&amp;Source!B104&amp;" "&amp;Source!D104)</f>
        <v/>
      </c>
      <c r="C104" s="7" t="str">
        <f>IF(Source!E104="","",Source!E104)</f>
        <v/>
      </c>
      <c r="D104" s="7" t="str">
        <f>IF(Source!F104="","",ROUND(IF(UPPER(Source!I104)="S",-1,1)*(N(Source!F104)+N(Source!G104)/60+N(Source!H104)/3600),7))</f>
        <v/>
      </c>
      <c r="E104" s="7" t="str">
        <f>IF(Source!J104="","",ROUND(IF(UPPER(Source!M104)="W",-1,1)*(N(Source!J104)+N(Source!K104)/60+N(Source!L104)/3600),7))</f>
        <v/>
      </c>
      <c r="F104" s="7" t="str">
        <f>SUBSTITUTE(TRIM(Source!N104&amp;" "&amp;Source!O104&amp;" "&amp;Source!P104)," ","/")</f>
        <v/>
      </c>
      <c r="G104" s="7" t="str">
        <f>IF(Source!Q104="","",Source!Q104)</f>
        <v/>
      </c>
      <c r="H104" s="7" t="str">
        <f>IF(Source!R104="","",Source!R104)</f>
        <v/>
      </c>
      <c r="I104" s="7" t="str">
        <f>IF(Source!S104&lt;&gt;"",Source!S104,IF(Source!C104&lt;&gt;"",Source!C104,""))</f>
        <v/>
      </c>
      <c r="J104" s="7" t="str">
        <f>TRIM(Source!T104&amp;" "&amp;Source!U104&amp;" "&amp;IF(Source!V104="","",Source!V104&amp;"s")&amp;" "&amp;IF(Source!W104="","",Source!W104&amp;"M"))</f>
        <v/>
      </c>
      <c r="K104" s="7" t="str">
        <f>IF(Source!X104="","",Source!X104)</f>
        <v/>
      </c>
      <c r="L104" s="7" t="str">
        <f>IF(Source!Y104="","",Source!Y104)</f>
        <v/>
      </c>
      <c r="M104" s="7" t="str">
        <f>IF(Source!Z104="","",Source!Z104)</f>
        <v/>
      </c>
      <c r="N104" s="7" t="str">
        <f>IF(Source!AA104="","",Source!AA104)</f>
        <v/>
      </c>
      <c r="O104" s="7" t="str">
        <f>IF(Source!AB104="","",Source!AB104)</f>
        <v/>
      </c>
      <c r="P104" s="7" t="str">
        <f>IF(Source!AC104="","",Source!AC104)</f>
        <v/>
      </c>
      <c r="Q104" s="7" t="str">
        <f>IF(Source!AD104="","",TEXT(Source!AD104,"000000000"))</f>
        <v/>
      </c>
      <c r="R104" s="7" t="str">
        <f>IF(Source!AE104="","","physical AIS type "&amp;Source!AE104)</f>
        <v/>
      </c>
      <c r="S104" s="7" t="str">
        <f>IF(Source!AF104="","",IF(LEN(Source!AF104)=1,UPPER(Source!AF104),"yes"))</f>
        <v/>
      </c>
      <c r="T104" s="7" t="str">
        <f>IF(Source!AG104="","",Source!AG104)</f>
        <v/>
      </c>
      <c r="U104" s="7" t="str">
        <f>IF(Source!AH104="","",YEAR(Source!AH104)&amp;"-"&amp;TEXT(MONTH(Source!AH104),"00")&amp;"-"&amp;TEXT(DAY(Source!AH104),"00"))</f>
        <v/>
      </c>
      <c r="V104" s="7" t="str">
        <f>IF(Source!AI104="","",IF(OR(UPPER(Source!AI104)="YES",UPPER(Source!AI104)="Y"),"visually conspicuous",IF(OR(UPPER(Source!AI104)="NO",UPPER(Source!AI104)="N"),"not visually conspicuous",Source!AI104)))</f>
        <v/>
      </c>
      <c r="W104" s="7" t="str">
        <f>IF(Source!AJ104="","",Source!AJ104)</f>
        <v/>
      </c>
    </row>
    <row r="105">
      <c r="A105" s="7" t="str">
        <f>IF(Source!A105="","",Source!A105&amp;"")</f>
        <v/>
      </c>
      <c r="B105" s="7" t="str">
        <f>TRIM(Source!C105&amp;" "&amp;Source!B105&amp;" "&amp;Source!D105)</f>
        <v/>
      </c>
      <c r="C105" s="7" t="str">
        <f>IF(Source!E105="","",Source!E105)</f>
        <v/>
      </c>
      <c r="D105" s="7" t="str">
        <f>IF(Source!F105="","",ROUND(IF(UPPER(Source!I105)="S",-1,1)*(N(Source!F105)+N(Source!G105)/60+N(Source!H105)/3600),7))</f>
        <v/>
      </c>
      <c r="E105" s="7" t="str">
        <f>IF(Source!J105="","",ROUND(IF(UPPER(Source!M105)="W",-1,1)*(N(Source!J105)+N(Source!K105)/60+N(Source!L105)/3600),7))</f>
        <v/>
      </c>
      <c r="F105" s="7" t="str">
        <f>SUBSTITUTE(TRIM(Source!N105&amp;" "&amp;Source!O105&amp;" "&amp;Source!P105)," ","/")</f>
        <v/>
      </c>
      <c r="G105" s="7" t="str">
        <f>IF(Source!Q105="","",Source!Q105)</f>
        <v/>
      </c>
      <c r="H105" s="7" t="str">
        <f>IF(Source!R105="","",Source!R105)</f>
        <v/>
      </c>
      <c r="I105" s="7" t="str">
        <f>IF(Source!S105&lt;&gt;"",Source!S105,IF(Source!C105&lt;&gt;"",Source!C105,""))</f>
        <v/>
      </c>
      <c r="J105" s="7" t="str">
        <f>TRIM(Source!T105&amp;" "&amp;Source!U105&amp;" "&amp;IF(Source!V105="","",Source!V105&amp;"s")&amp;" "&amp;IF(Source!W105="","",Source!W105&amp;"M"))</f>
        <v/>
      </c>
      <c r="K105" s="7" t="str">
        <f>IF(Source!X105="","",Source!X105)</f>
        <v/>
      </c>
      <c r="L105" s="7" t="str">
        <f>IF(Source!Y105="","",Source!Y105)</f>
        <v/>
      </c>
      <c r="M105" s="7" t="str">
        <f>IF(Source!Z105="","",Source!Z105)</f>
        <v/>
      </c>
      <c r="N105" s="7" t="str">
        <f>IF(Source!AA105="","",Source!AA105)</f>
        <v/>
      </c>
      <c r="O105" s="7" t="str">
        <f>IF(Source!AB105="","",Source!AB105)</f>
        <v/>
      </c>
      <c r="P105" s="7" t="str">
        <f>IF(Source!AC105="","",Source!AC105)</f>
        <v/>
      </c>
      <c r="Q105" s="7" t="str">
        <f>IF(Source!AD105="","",TEXT(Source!AD105,"000000000"))</f>
        <v/>
      </c>
      <c r="R105" s="7" t="str">
        <f>IF(Source!AE105="","","physical AIS type "&amp;Source!AE105)</f>
        <v/>
      </c>
      <c r="S105" s="7" t="str">
        <f>IF(Source!AF105="","",IF(LEN(Source!AF105)=1,UPPER(Source!AF105),"yes"))</f>
        <v/>
      </c>
      <c r="T105" s="7" t="str">
        <f>IF(Source!AG105="","",Source!AG105)</f>
        <v/>
      </c>
      <c r="U105" s="7" t="str">
        <f>IF(Source!AH105="","",YEAR(Source!AH105)&amp;"-"&amp;TEXT(MONTH(Source!AH105),"00")&amp;"-"&amp;TEXT(DAY(Source!AH105),"00"))</f>
        <v/>
      </c>
      <c r="V105" s="7" t="str">
        <f>IF(Source!AI105="","",IF(OR(UPPER(Source!AI105)="YES",UPPER(Source!AI105)="Y"),"visually conspicuous",IF(OR(UPPER(Source!AI105)="NO",UPPER(Source!AI105)="N"),"not visually conspicuous",Source!AI105)))</f>
        <v/>
      </c>
      <c r="W105" s="7" t="str">
        <f>IF(Source!AJ105="","",Source!AJ105)</f>
        <v/>
      </c>
    </row>
    <row r="106">
      <c r="A106" s="7" t="str">
        <f>IF(Source!A106="","",Source!A106&amp;"")</f>
        <v/>
      </c>
      <c r="B106" s="7" t="str">
        <f>TRIM(Source!C106&amp;" "&amp;Source!B106&amp;" "&amp;Source!D106)</f>
        <v/>
      </c>
      <c r="C106" s="7" t="str">
        <f>IF(Source!E106="","",Source!E106)</f>
        <v/>
      </c>
      <c r="D106" s="7" t="str">
        <f>IF(Source!F106="","",ROUND(IF(UPPER(Source!I106)="S",-1,1)*(N(Source!F106)+N(Source!G106)/60+N(Source!H106)/3600),7))</f>
        <v/>
      </c>
      <c r="E106" s="7" t="str">
        <f>IF(Source!J106="","",ROUND(IF(UPPER(Source!M106)="W",-1,1)*(N(Source!J106)+N(Source!K106)/60+N(Source!L106)/3600),7))</f>
        <v/>
      </c>
      <c r="F106" s="7" t="str">
        <f>SUBSTITUTE(TRIM(Source!N106&amp;" "&amp;Source!O106&amp;" "&amp;Source!P106)," ","/")</f>
        <v/>
      </c>
      <c r="G106" s="7" t="str">
        <f>IF(Source!Q106="","",Source!Q106)</f>
        <v/>
      </c>
      <c r="H106" s="7" t="str">
        <f>IF(Source!R106="","",Source!R106)</f>
        <v/>
      </c>
      <c r="I106" s="7" t="str">
        <f>IF(Source!S106&lt;&gt;"",Source!S106,IF(Source!C106&lt;&gt;"",Source!C106,""))</f>
        <v/>
      </c>
      <c r="J106" s="7" t="str">
        <f>TRIM(Source!T106&amp;" "&amp;Source!U106&amp;" "&amp;IF(Source!V106="","",Source!V106&amp;"s")&amp;" "&amp;IF(Source!W106="","",Source!W106&amp;"M"))</f>
        <v/>
      </c>
      <c r="K106" s="7" t="str">
        <f>IF(Source!X106="","",Source!X106)</f>
        <v/>
      </c>
      <c r="L106" s="7" t="str">
        <f>IF(Source!Y106="","",Source!Y106)</f>
        <v/>
      </c>
      <c r="M106" s="7" t="str">
        <f>IF(Source!Z106="","",Source!Z106)</f>
        <v/>
      </c>
      <c r="N106" s="7" t="str">
        <f>IF(Source!AA106="","",Source!AA106)</f>
        <v/>
      </c>
      <c r="O106" s="7" t="str">
        <f>IF(Source!AB106="","",Source!AB106)</f>
        <v/>
      </c>
      <c r="P106" s="7" t="str">
        <f>IF(Source!AC106="","",Source!AC106)</f>
        <v/>
      </c>
      <c r="Q106" s="7" t="str">
        <f>IF(Source!AD106="","",TEXT(Source!AD106,"000000000"))</f>
        <v/>
      </c>
      <c r="R106" s="7" t="str">
        <f>IF(Source!AE106="","","physical AIS type "&amp;Source!AE106)</f>
        <v/>
      </c>
      <c r="S106" s="7" t="str">
        <f>IF(Source!AF106="","",IF(LEN(Source!AF106)=1,UPPER(Source!AF106),"yes"))</f>
        <v/>
      </c>
      <c r="T106" s="7" t="str">
        <f>IF(Source!AG106="","",Source!AG106)</f>
        <v/>
      </c>
      <c r="U106" s="7" t="str">
        <f>IF(Source!AH106="","",YEAR(Source!AH106)&amp;"-"&amp;TEXT(MONTH(Source!AH106),"00")&amp;"-"&amp;TEXT(DAY(Source!AH106),"00"))</f>
        <v/>
      </c>
      <c r="V106" s="7" t="str">
        <f>IF(Source!AI106="","",IF(OR(UPPER(Source!AI106)="YES",UPPER(Source!AI106)="Y"),"visually conspicuous",IF(OR(UPPER(Source!AI106)="NO",UPPER(Source!AI106)="N"),"not visually conspicuous",Source!AI106)))</f>
        <v/>
      </c>
      <c r="W106" s="7" t="str">
        <f>IF(Source!AJ106="","",Source!AJ106)</f>
        <v/>
      </c>
    </row>
    <row r="107">
      <c r="A107" s="7" t="str">
        <f>IF(Source!A107="","",Source!A107&amp;"")</f>
        <v/>
      </c>
      <c r="B107" s="7" t="str">
        <f>TRIM(Source!C107&amp;" "&amp;Source!B107&amp;" "&amp;Source!D107)</f>
        <v/>
      </c>
      <c r="C107" s="7" t="str">
        <f>IF(Source!E107="","",Source!E107)</f>
        <v/>
      </c>
      <c r="D107" s="7" t="str">
        <f>IF(Source!F107="","",ROUND(IF(UPPER(Source!I107)="S",-1,1)*(N(Source!F107)+N(Source!G107)/60+N(Source!H107)/3600),7))</f>
        <v/>
      </c>
      <c r="E107" s="7" t="str">
        <f>IF(Source!J107="","",ROUND(IF(UPPER(Source!M107)="W",-1,1)*(N(Source!J107)+N(Source!K107)/60+N(Source!L107)/3600),7))</f>
        <v/>
      </c>
      <c r="F107" s="7" t="str">
        <f>SUBSTITUTE(TRIM(Source!N107&amp;" "&amp;Source!O107&amp;" "&amp;Source!P107)," ","/")</f>
        <v/>
      </c>
      <c r="G107" s="7" t="str">
        <f>IF(Source!Q107="","",Source!Q107)</f>
        <v/>
      </c>
      <c r="H107" s="7" t="str">
        <f>IF(Source!R107="","",Source!R107)</f>
        <v/>
      </c>
      <c r="I107" s="7" t="str">
        <f>IF(Source!S107&lt;&gt;"",Source!S107,IF(Source!C107&lt;&gt;"",Source!C107,""))</f>
        <v/>
      </c>
      <c r="J107" s="7" t="str">
        <f>TRIM(Source!T107&amp;" "&amp;Source!U107&amp;" "&amp;IF(Source!V107="","",Source!V107&amp;"s")&amp;" "&amp;IF(Source!W107="","",Source!W107&amp;"M"))</f>
        <v/>
      </c>
      <c r="K107" s="7" t="str">
        <f>IF(Source!X107="","",Source!X107)</f>
        <v/>
      </c>
      <c r="L107" s="7" t="str">
        <f>IF(Source!Y107="","",Source!Y107)</f>
        <v/>
      </c>
      <c r="M107" s="7" t="str">
        <f>IF(Source!Z107="","",Source!Z107)</f>
        <v/>
      </c>
      <c r="N107" s="7" t="str">
        <f>IF(Source!AA107="","",Source!AA107)</f>
        <v/>
      </c>
      <c r="O107" s="7" t="str">
        <f>IF(Source!AB107="","",Source!AB107)</f>
        <v/>
      </c>
      <c r="P107" s="7" t="str">
        <f>IF(Source!AC107="","",Source!AC107)</f>
        <v/>
      </c>
      <c r="Q107" s="7" t="str">
        <f>IF(Source!AD107="","",TEXT(Source!AD107,"000000000"))</f>
        <v/>
      </c>
      <c r="R107" s="7" t="str">
        <f>IF(Source!AE107="","","physical AIS type "&amp;Source!AE107)</f>
        <v/>
      </c>
      <c r="S107" s="7" t="str">
        <f>IF(Source!AF107="","",IF(LEN(Source!AF107)=1,UPPER(Source!AF107),"yes"))</f>
        <v/>
      </c>
      <c r="T107" s="7" t="str">
        <f>IF(Source!AG107="","",Source!AG107)</f>
        <v/>
      </c>
      <c r="U107" s="7" t="str">
        <f>IF(Source!AH107="","",YEAR(Source!AH107)&amp;"-"&amp;TEXT(MONTH(Source!AH107),"00")&amp;"-"&amp;TEXT(DAY(Source!AH107),"00"))</f>
        <v/>
      </c>
      <c r="V107" s="7" t="str">
        <f>IF(Source!AI107="","",IF(OR(UPPER(Source!AI107)="YES",UPPER(Source!AI107)="Y"),"visually conspicuous",IF(OR(UPPER(Source!AI107)="NO",UPPER(Source!AI107)="N"),"not visually conspicuous",Source!AI107)))</f>
        <v/>
      </c>
      <c r="W107" s="7" t="str">
        <f>IF(Source!AJ107="","",Source!AJ107)</f>
        <v/>
      </c>
    </row>
    <row r="108">
      <c r="A108" s="7" t="str">
        <f>IF(Source!A108="","",Source!A108&amp;"")</f>
        <v/>
      </c>
      <c r="B108" s="7" t="str">
        <f>TRIM(Source!C108&amp;" "&amp;Source!B108&amp;" "&amp;Source!D108)</f>
        <v/>
      </c>
      <c r="C108" s="7" t="str">
        <f>IF(Source!E108="","",Source!E108)</f>
        <v/>
      </c>
      <c r="D108" s="7" t="str">
        <f>IF(Source!F108="","",ROUND(IF(UPPER(Source!I108)="S",-1,1)*(N(Source!F108)+N(Source!G108)/60+N(Source!H108)/3600),7))</f>
        <v/>
      </c>
      <c r="E108" s="7" t="str">
        <f>IF(Source!J108="","",ROUND(IF(UPPER(Source!M108)="W",-1,1)*(N(Source!J108)+N(Source!K108)/60+N(Source!L108)/3600),7))</f>
        <v/>
      </c>
      <c r="F108" s="7" t="str">
        <f>SUBSTITUTE(TRIM(Source!N108&amp;" "&amp;Source!O108&amp;" "&amp;Source!P108)," ","/")</f>
        <v/>
      </c>
      <c r="G108" s="7" t="str">
        <f>IF(Source!Q108="","",Source!Q108)</f>
        <v/>
      </c>
      <c r="H108" s="7" t="str">
        <f>IF(Source!R108="","",Source!R108)</f>
        <v/>
      </c>
      <c r="I108" s="7" t="str">
        <f>IF(Source!S108&lt;&gt;"",Source!S108,IF(Source!C108&lt;&gt;"",Source!C108,""))</f>
        <v/>
      </c>
      <c r="J108" s="7" t="str">
        <f>TRIM(Source!T108&amp;" "&amp;Source!U108&amp;" "&amp;IF(Source!V108="","",Source!V108&amp;"s")&amp;" "&amp;IF(Source!W108="","",Source!W108&amp;"M"))</f>
        <v/>
      </c>
      <c r="K108" s="7" t="str">
        <f>IF(Source!X108="","",Source!X108)</f>
        <v/>
      </c>
      <c r="L108" s="7" t="str">
        <f>IF(Source!Y108="","",Source!Y108)</f>
        <v/>
      </c>
      <c r="M108" s="7" t="str">
        <f>IF(Source!Z108="","",Source!Z108)</f>
        <v/>
      </c>
      <c r="N108" s="7" t="str">
        <f>IF(Source!AA108="","",Source!AA108)</f>
        <v/>
      </c>
      <c r="O108" s="7" t="str">
        <f>IF(Source!AB108="","",Source!AB108)</f>
        <v/>
      </c>
      <c r="P108" s="7" t="str">
        <f>IF(Source!AC108="","",Source!AC108)</f>
        <v/>
      </c>
      <c r="Q108" s="7" t="str">
        <f>IF(Source!AD108="","",TEXT(Source!AD108,"000000000"))</f>
        <v/>
      </c>
      <c r="R108" s="7" t="str">
        <f>IF(Source!AE108="","","physical AIS type "&amp;Source!AE108)</f>
        <v/>
      </c>
      <c r="S108" s="7" t="str">
        <f>IF(Source!AF108="","",IF(LEN(Source!AF108)=1,UPPER(Source!AF108),"yes"))</f>
        <v/>
      </c>
      <c r="T108" s="7" t="str">
        <f>IF(Source!AG108="","",Source!AG108)</f>
        <v/>
      </c>
      <c r="U108" s="7" t="str">
        <f>IF(Source!AH108="","",YEAR(Source!AH108)&amp;"-"&amp;TEXT(MONTH(Source!AH108),"00")&amp;"-"&amp;TEXT(DAY(Source!AH108),"00"))</f>
        <v/>
      </c>
      <c r="V108" s="7" t="str">
        <f>IF(Source!AI108="","",IF(OR(UPPER(Source!AI108)="YES",UPPER(Source!AI108)="Y"),"visually conspicuous",IF(OR(UPPER(Source!AI108)="NO",UPPER(Source!AI108)="N"),"not visually conspicuous",Source!AI108)))</f>
        <v/>
      </c>
      <c r="W108" s="7" t="str">
        <f>IF(Source!AJ108="","",Source!AJ108)</f>
        <v/>
      </c>
    </row>
    <row r="109">
      <c r="A109" s="7" t="str">
        <f>IF(Source!A109="","",Source!A109&amp;"")</f>
        <v/>
      </c>
      <c r="B109" s="7" t="str">
        <f>TRIM(Source!C109&amp;" "&amp;Source!B109&amp;" "&amp;Source!D109)</f>
        <v/>
      </c>
      <c r="C109" s="7" t="str">
        <f>IF(Source!E109="","",Source!E109)</f>
        <v/>
      </c>
      <c r="D109" s="7" t="str">
        <f>IF(Source!F109="","",ROUND(IF(UPPER(Source!I109)="S",-1,1)*(N(Source!F109)+N(Source!G109)/60+N(Source!H109)/3600),7))</f>
        <v/>
      </c>
      <c r="E109" s="7" t="str">
        <f>IF(Source!J109="","",ROUND(IF(UPPER(Source!M109)="W",-1,1)*(N(Source!J109)+N(Source!K109)/60+N(Source!L109)/3600),7))</f>
        <v/>
      </c>
      <c r="F109" s="7" t="str">
        <f>SUBSTITUTE(TRIM(Source!N109&amp;" "&amp;Source!O109&amp;" "&amp;Source!P109)," ","/")</f>
        <v/>
      </c>
      <c r="G109" s="7" t="str">
        <f>IF(Source!Q109="","",Source!Q109)</f>
        <v/>
      </c>
      <c r="H109" s="7" t="str">
        <f>IF(Source!R109="","",Source!R109)</f>
        <v/>
      </c>
      <c r="I109" s="7" t="str">
        <f>IF(Source!S109&lt;&gt;"",Source!S109,IF(Source!C109&lt;&gt;"",Source!C109,""))</f>
        <v/>
      </c>
      <c r="J109" s="7" t="str">
        <f>TRIM(Source!T109&amp;" "&amp;Source!U109&amp;" "&amp;IF(Source!V109="","",Source!V109&amp;"s")&amp;" "&amp;IF(Source!W109="","",Source!W109&amp;"M"))</f>
        <v/>
      </c>
      <c r="K109" s="7" t="str">
        <f>IF(Source!X109="","",Source!X109)</f>
        <v/>
      </c>
      <c r="L109" s="7" t="str">
        <f>IF(Source!Y109="","",Source!Y109)</f>
        <v/>
      </c>
      <c r="M109" s="7" t="str">
        <f>IF(Source!Z109="","",Source!Z109)</f>
        <v/>
      </c>
      <c r="N109" s="7" t="str">
        <f>IF(Source!AA109="","",Source!AA109)</f>
        <v/>
      </c>
      <c r="O109" s="7" t="str">
        <f>IF(Source!AB109="","",Source!AB109)</f>
        <v/>
      </c>
      <c r="P109" s="7" t="str">
        <f>IF(Source!AC109="","",Source!AC109)</f>
        <v/>
      </c>
      <c r="Q109" s="7" t="str">
        <f>IF(Source!AD109="","",TEXT(Source!AD109,"000000000"))</f>
        <v/>
      </c>
      <c r="R109" s="7" t="str">
        <f>IF(Source!AE109="","","physical AIS type "&amp;Source!AE109)</f>
        <v/>
      </c>
      <c r="S109" s="7" t="str">
        <f>IF(Source!AF109="","",IF(LEN(Source!AF109)=1,UPPER(Source!AF109),"yes"))</f>
        <v/>
      </c>
      <c r="T109" s="7" t="str">
        <f>IF(Source!AG109="","",Source!AG109)</f>
        <v/>
      </c>
      <c r="U109" s="7" t="str">
        <f>IF(Source!AH109="","",YEAR(Source!AH109)&amp;"-"&amp;TEXT(MONTH(Source!AH109),"00")&amp;"-"&amp;TEXT(DAY(Source!AH109),"00"))</f>
        <v/>
      </c>
      <c r="V109" s="7" t="str">
        <f>IF(Source!AI109="","",IF(OR(UPPER(Source!AI109)="YES",UPPER(Source!AI109)="Y"),"visually conspicuous",IF(OR(UPPER(Source!AI109)="NO",UPPER(Source!AI109)="N"),"not visually conspicuous",Source!AI109)))</f>
        <v/>
      </c>
      <c r="W109" s="7" t="str">
        <f>IF(Source!AJ109="","",Source!AJ109)</f>
        <v/>
      </c>
    </row>
    <row r="110">
      <c r="A110" s="7" t="str">
        <f>IF(Source!A110="","",Source!A110&amp;"")</f>
        <v/>
      </c>
      <c r="B110" s="7" t="str">
        <f>TRIM(Source!C110&amp;" "&amp;Source!B110&amp;" "&amp;Source!D110)</f>
        <v/>
      </c>
      <c r="C110" s="7" t="str">
        <f>IF(Source!E110="","",Source!E110)</f>
        <v/>
      </c>
      <c r="D110" s="7" t="str">
        <f>IF(Source!F110="","",ROUND(IF(UPPER(Source!I110)="S",-1,1)*(N(Source!F110)+N(Source!G110)/60+N(Source!H110)/3600),7))</f>
        <v/>
      </c>
      <c r="E110" s="7" t="str">
        <f>IF(Source!J110="","",ROUND(IF(UPPER(Source!M110)="W",-1,1)*(N(Source!J110)+N(Source!K110)/60+N(Source!L110)/3600),7))</f>
        <v/>
      </c>
      <c r="F110" s="7" t="str">
        <f>SUBSTITUTE(TRIM(Source!N110&amp;" "&amp;Source!O110&amp;" "&amp;Source!P110)," ","/")</f>
        <v/>
      </c>
      <c r="G110" s="7" t="str">
        <f>IF(Source!Q110="","",Source!Q110)</f>
        <v/>
      </c>
      <c r="H110" s="7" t="str">
        <f>IF(Source!R110="","",Source!R110)</f>
        <v/>
      </c>
      <c r="I110" s="7" t="str">
        <f>IF(Source!S110&lt;&gt;"",Source!S110,IF(Source!C110&lt;&gt;"",Source!C110,""))</f>
        <v/>
      </c>
      <c r="J110" s="7" t="str">
        <f>TRIM(Source!T110&amp;" "&amp;Source!U110&amp;" "&amp;IF(Source!V110="","",Source!V110&amp;"s")&amp;" "&amp;IF(Source!W110="","",Source!W110&amp;"M"))</f>
        <v/>
      </c>
      <c r="K110" s="7" t="str">
        <f>IF(Source!X110="","",Source!X110)</f>
        <v/>
      </c>
      <c r="L110" s="7" t="str">
        <f>IF(Source!Y110="","",Source!Y110)</f>
        <v/>
      </c>
      <c r="M110" s="7" t="str">
        <f>IF(Source!Z110="","",Source!Z110)</f>
        <v/>
      </c>
      <c r="N110" s="7" t="str">
        <f>IF(Source!AA110="","",Source!AA110)</f>
        <v/>
      </c>
      <c r="O110" s="7" t="str">
        <f>IF(Source!AB110="","",Source!AB110)</f>
        <v/>
      </c>
      <c r="P110" s="7" t="str">
        <f>IF(Source!AC110="","",Source!AC110)</f>
        <v/>
      </c>
      <c r="Q110" s="7" t="str">
        <f>IF(Source!AD110="","",TEXT(Source!AD110,"000000000"))</f>
        <v/>
      </c>
      <c r="R110" s="7" t="str">
        <f>IF(Source!AE110="","","physical AIS type "&amp;Source!AE110)</f>
        <v/>
      </c>
      <c r="S110" s="7" t="str">
        <f>IF(Source!AF110="","",IF(LEN(Source!AF110)=1,UPPER(Source!AF110),"yes"))</f>
        <v/>
      </c>
      <c r="T110" s="7" t="str">
        <f>IF(Source!AG110="","",Source!AG110)</f>
        <v/>
      </c>
      <c r="U110" s="7" t="str">
        <f>IF(Source!AH110="","",YEAR(Source!AH110)&amp;"-"&amp;TEXT(MONTH(Source!AH110),"00")&amp;"-"&amp;TEXT(DAY(Source!AH110),"00"))</f>
        <v/>
      </c>
      <c r="V110" s="7" t="str">
        <f>IF(Source!AI110="","",IF(OR(UPPER(Source!AI110)="YES",UPPER(Source!AI110)="Y"),"visually conspicuous",IF(OR(UPPER(Source!AI110)="NO",UPPER(Source!AI110)="N"),"not visually conspicuous",Source!AI110)))</f>
        <v/>
      </c>
      <c r="W110" s="7" t="str">
        <f>IF(Source!AJ110="","",Source!AJ110)</f>
        <v/>
      </c>
    </row>
    <row r="111">
      <c r="A111" s="7" t="str">
        <f>IF(Source!A111="","",Source!A111&amp;"")</f>
        <v/>
      </c>
      <c r="B111" s="7" t="str">
        <f>TRIM(Source!C111&amp;" "&amp;Source!B111&amp;" "&amp;Source!D111)</f>
        <v/>
      </c>
      <c r="C111" s="7" t="str">
        <f>IF(Source!E111="","",Source!E111)</f>
        <v/>
      </c>
      <c r="D111" s="7" t="str">
        <f>IF(Source!F111="","",ROUND(IF(UPPER(Source!I111)="S",-1,1)*(N(Source!F111)+N(Source!G111)/60+N(Source!H111)/3600),7))</f>
        <v/>
      </c>
      <c r="E111" s="7" t="str">
        <f>IF(Source!J111="","",ROUND(IF(UPPER(Source!M111)="W",-1,1)*(N(Source!J111)+N(Source!K111)/60+N(Source!L111)/3600),7))</f>
        <v/>
      </c>
      <c r="F111" s="7" t="str">
        <f>SUBSTITUTE(TRIM(Source!N111&amp;" "&amp;Source!O111&amp;" "&amp;Source!P111)," ","/")</f>
        <v/>
      </c>
      <c r="G111" s="7" t="str">
        <f>IF(Source!Q111="","",Source!Q111)</f>
        <v/>
      </c>
      <c r="H111" s="7" t="str">
        <f>IF(Source!R111="","",Source!R111)</f>
        <v/>
      </c>
      <c r="I111" s="7" t="str">
        <f>IF(Source!S111&lt;&gt;"",Source!S111,IF(Source!C111&lt;&gt;"",Source!C111,""))</f>
        <v/>
      </c>
      <c r="J111" s="7" t="str">
        <f>TRIM(Source!T111&amp;" "&amp;Source!U111&amp;" "&amp;IF(Source!V111="","",Source!V111&amp;"s")&amp;" "&amp;IF(Source!W111="","",Source!W111&amp;"M"))</f>
        <v/>
      </c>
      <c r="K111" s="7" t="str">
        <f>IF(Source!X111="","",Source!X111)</f>
        <v/>
      </c>
      <c r="L111" s="7" t="str">
        <f>IF(Source!Y111="","",Source!Y111)</f>
        <v/>
      </c>
      <c r="M111" s="7" t="str">
        <f>IF(Source!Z111="","",Source!Z111)</f>
        <v/>
      </c>
      <c r="N111" s="7" t="str">
        <f>IF(Source!AA111="","",Source!AA111)</f>
        <v/>
      </c>
      <c r="O111" s="7" t="str">
        <f>IF(Source!AB111="","",Source!AB111)</f>
        <v/>
      </c>
      <c r="P111" s="7" t="str">
        <f>IF(Source!AC111="","",Source!AC111)</f>
        <v/>
      </c>
      <c r="Q111" s="7" t="str">
        <f>IF(Source!AD111="","",TEXT(Source!AD111,"000000000"))</f>
        <v/>
      </c>
      <c r="R111" s="7" t="str">
        <f>IF(Source!AE111="","","physical AIS type "&amp;Source!AE111)</f>
        <v/>
      </c>
      <c r="S111" s="7" t="str">
        <f>IF(Source!AF111="","",IF(LEN(Source!AF111)=1,UPPER(Source!AF111),"yes"))</f>
        <v/>
      </c>
      <c r="T111" s="7" t="str">
        <f>IF(Source!AG111="","",Source!AG111)</f>
        <v/>
      </c>
      <c r="U111" s="7" t="str">
        <f>IF(Source!AH111="","",YEAR(Source!AH111)&amp;"-"&amp;TEXT(MONTH(Source!AH111),"00")&amp;"-"&amp;TEXT(DAY(Source!AH111),"00"))</f>
        <v/>
      </c>
      <c r="V111" s="7" t="str">
        <f>IF(Source!AI111="","",IF(OR(UPPER(Source!AI111)="YES",UPPER(Source!AI111)="Y"),"visually conspicuous",IF(OR(UPPER(Source!AI111)="NO",UPPER(Source!AI111)="N"),"not visually conspicuous",Source!AI111)))</f>
        <v/>
      </c>
      <c r="W111" s="7" t="str">
        <f>IF(Source!AJ111="","",Source!AJ111)</f>
        <v/>
      </c>
    </row>
    <row r="112">
      <c r="A112" s="7" t="str">
        <f>IF(Source!A112="","",Source!A112&amp;"")</f>
        <v/>
      </c>
      <c r="B112" s="7" t="str">
        <f>TRIM(Source!C112&amp;" "&amp;Source!B112&amp;" "&amp;Source!D112)</f>
        <v/>
      </c>
      <c r="C112" s="7" t="str">
        <f>IF(Source!E112="","",Source!E112)</f>
        <v/>
      </c>
      <c r="D112" s="7" t="str">
        <f>IF(Source!F112="","",ROUND(IF(UPPER(Source!I112)="S",-1,1)*(N(Source!F112)+N(Source!G112)/60+N(Source!H112)/3600),7))</f>
        <v/>
      </c>
      <c r="E112" s="7" t="str">
        <f>IF(Source!J112="","",ROUND(IF(UPPER(Source!M112)="W",-1,1)*(N(Source!J112)+N(Source!K112)/60+N(Source!L112)/3600),7))</f>
        <v/>
      </c>
      <c r="F112" s="7" t="str">
        <f>SUBSTITUTE(TRIM(Source!N112&amp;" "&amp;Source!O112&amp;" "&amp;Source!P112)," ","/")</f>
        <v/>
      </c>
      <c r="G112" s="7" t="str">
        <f>IF(Source!Q112="","",Source!Q112)</f>
        <v/>
      </c>
      <c r="H112" s="7" t="str">
        <f>IF(Source!R112="","",Source!R112)</f>
        <v/>
      </c>
      <c r="I112" s="7" t="str">
        <f>IF(Source!S112&lt;&gt;"",Source!S112,IF(Source!C112&lt;&gt;"",Source!C112,""))</f>
        <v/>
      </c>
      <c r="J112" s="7" t="str">
        <f>TRIM(Source!T112&amp;" "&amp;Source!U112&amp;" "&amp;IF(Source!V112="","",Source!V112&amp;"s")&amp;" "&amp;IF(Source!W112="","",Source!W112&amp;"M"))</f>
        <v/>
      </c>
      <c r="K112" s="7" t="str">
        <f>IF(Source!X112="","",Source!X112)</f>
        <v/>
      </c>
      <c r="L112" s="7" t="str">
        <f>IF(Source!Y112="","",Source!Y112)</f>
        <v/>
      </c>
      <c r="M112" s="7" t="str">
        <f>IF(Source!Z112="","",Source!Z112)</f>
        <v/>
      </c>
      <c r="N112" s="7" t="str">
        <f>IF(Source!AA112="","",Source!AA112)</f>
        <v/>
      </c>
      <c r="O112" s="7" t="str">
        <f>IF(Source!AB112="","",Source!AB112)</f>
        <v/>
      </c>
      <c r="P112" s="7" t="str">
        <f>IF(Source!AC112="","",Source!AC112)</f>
        <v/>
      </c>
      <c r="Q112" s="7" t="str">
        <f>IF(Source!AD112="","",TEXT(Source!AD112,"000000000"))</f>
        <v/>
      </c>
      <c r="R112" s="7" t="str">
        <f>IF(Source!AE112="","","physical AIS type "&amp;Source!AE112)</f>
        <v/>
      </c>
      <c r="S112" s="7" t="str">
        <f>IF(Source!AF112="","",IF(LEN(Source!AF112)=1,UPPER(Source!AF112),"yes"))</f>
        <v/>
      </c>
      <c r="T112" s="7" t="str">
        <f>IF(Source!AG112="","",Source!AG112)</f>
        <v/>
      </c>
      <c r="U112" s="7" t="str">
        <f>IF(Source!AH112="","",YEAR(Source!AH112)&amp;"-"&amp;TEXT(MONTH(Source!AH112),"00")&amp;"-"&amp;TEXT(DAY(Source!AH112),"00"))</f>
        <v/>
      </c>
      <c r="V112" s="7" t="str">
        <f>IF(Source!AI112="","",IF(OR(UPPER(Source!AI112)="YES",UPPER(Source!AI112)="Y"),"visually conspicuous",IF(OR(UPPER(Source!AI112)="NO",UPPER(Source!AI112)="N"),"not visually conspicuous",Source!AI112)))</f>
        <v/>
      </c>
      <c r="W112" s="7" t="str">
        <f>IF(Source!AJ112="","",Source!AJ112)</f>
        <v/>
      </c>
    </row>
    <row r="113">
      <c r="A113" s="7" t="str">
        <f>IF(Source!A113="","",Source!A113&amp;"")</f>
        <v/>
      </c>
      <c r="B113" s="7" t="str">
        <f>TRIM(Source!C113&amp;" "&amp;Source!B113&amp;" "&amp;Source!D113)</f>
        <v/>
      </c>
      <c r="C113" s="7" t="str">
        <f>IF(Source!E113="","",Source!E113)</f>
        <v/>
      </c>
      <c r="D113" s="7" t="str">
        <f>IF(Source!F113="","",ROUND(IF(UPPER(Source!I113)="S",-1,1)*(N(Source!F113)+N(Source!G113)/60+N(Source!H113)/3600),7))</f>
        <v/>
      </c>
      <c r="E113" s="7" t="str">
        <f>IF(Source!J113="","",ROUND(IF(UPPER(Source!M113)="W",-1,1)*(N(Source!J113)+N(Source!K113)/60+N(Source!L113)/3600),7))</f>
        <v/>
      </c>
      <c r="F113" s="7" t="str">
        <f>SUBSTITUTE(TRIM(Source!N113&amp;" "&amp;Source!O113&amp;" "&amp;Source!P113)," ","/")</f>
        <v/>
      </c>
      <c r="G113" s="7" t="str">
        <f>IF(Source!Q113="","",Source!Q113)</f>
        <v/>
      </c>
      <c r="H113" s="7" t="str">
        <f>IF(Source!R113="","",Source!R113)</f>
        <v/>
      </c>
      <c r="I113" s="7" t="str">
        <f>IF(Source!S113&lt;&gt;"",Source!S113,IF(Source!C113&lt;&gt;"",Source!C113,""))</f>
        <v/>
      </c>
      <c r="J113" s="7" t="str">
        <f>TRIM(Source!T113&amp;" "&amp;Source!U113&amp;" "&amp;IF(Source!V113="","",Source!V113&amp;"s")&amp;" "&amp;IF(Source!W113="","",Source!W113&amp;"M"))</f>
        <v/>
      </c>
      <c r="K113" s="7" t="str">
        <f>IF(Source!X113="","",Source!X113)</f>
        <v/>
      </c>
      <c r="L113" s="7" t="str">
        <f>IF(Source!Y113="","",Source!Y113)</f>
        <v/>
      </c>
      <c r="M113" s="7" t="str">
        <f>IF(Source!Z113="","",Source!Z113)</f>
        <v/>
      </c>
      <c r="N113" s="7" t="str">
        <f>IF(Source!AA113="","",Source!AA113)</f>
        <v/>
      </c>
      <c r="O113" s="7" t="str">
        <f>IF(Source!AB113="","",Source!AB113)</f>
        <v/>
      </c>
      <c r="P113" s="7" t="str">
        <f>IF(Source!AC113="","",Source!AC113)</f>
        <v/>
      </c>
      <c r="Q113" s="7" t="str">
        <f>IF(Source!AD113="","",TEXT(Source!AD113,"000000000"))</f>
        <v/>
      </c>
      <c r="R113" s="7" t="str">
        <f>IF(Source!AE113="","","physical AIS type "&amp;Source!AE113)</f>
        <v/>
      </c>
      <c r="S113" s="7" t="str">
        <f>IF(Source!AF113="","",IF(LEN(Source!AF113)=1,UPPER(Source!AF113),"yes"))</f>
        <v/>
      </c>
      <c r="T113" s="7" t="str">
        <f>IF(Source!AG113="","",Source!AG113)</f>
        <v/>
      </c>
      <c r="U113" s="7" t="str">
        <f>IF(Source!AH113="","",YEAR(Source!AH113)&amp;"-"&amp;TEXT(MONTH(Source!AH113),"00")&amp;"-"&amp;TEXT(DAY(Source!AH113),"00"))</f>
        <v/>
      </c>
      <c r="V113" s="7" t="str">
        <f>IF(Source!AI113="","",IF(OR(UPPER(Source!AI113)="YES",UPPER(Source!AI113)="Y"),"visually conspicuous",IF(OR(UPPER(Source!AI113)="NO",UPPER(Source!AI113)="N"),"not visually conspicuous",Source!AI113)))</f>
        <v/>
      </c>
      <c r="W113" s="7" t="str">
        <f>IF(Source!AJ113="","",Source!AJ113)</f>
        <v/>
      </c>
    </row>
    <row r="114">
      <c r="A114" s="7" t="str">
        <f>IF(Source!A114="","",Source!A114&amp;"")</f>
        <v/>
      </c>
      <c r="B114" s="7" t="str">
        <f>TRIM(Source!C114&amp;" "&amp;Source!B114&amp;" "&amp;Source!D114)</f>
        <v/>
      </c>
      <c r="C114" s="7" t="str">
        <f>IF(Source!E114="","",Source!E114)</f>
        <v/>
      </c>
      <c r="D114" s="7" t="str">
        <f>IF(Source!F114="","",ROUND(IF(UPPER(Source!I114)="S",-1,1)*(N(Source!F114)+N(Source!G114)/60+N(Source!H114)/3600),7))</f>
        <v/>
      </c>
      <c r="E114" s="7" t="str">
        <f>IF(Source!J114="","",ROUND(IF(UPPER(Source!M114)="W",-1,1)*(N(Source!J114)+N(Source!K114)/60+N(Source!L114)/3600),7))</f>
        <v/>
      </c>
      <c r="F114" s="7" t="str">
        <f>SUBSTITUTE(TRIM(Source!N114&amp;" "&amp;Source!O114&amp;" "&amp;Source!P114)," ","/")</f>
        <v/>
      </c>
      <c r="G114" s="7" t="str">
        <f>IF(Source!Q114="","",Source!Q114)</f>
        <v/>
      </c>
      <c r="H114" s="7" t="str">
        <f>IF(Source!R114="","",Source!R114)</f>
        <v/>
      </c>
      <c r="I114" s="7" t="str">
        <f>IF(Source!S114&lt;&gt;"",Source!S114,IF(Source!C114&lt;&gt;"",Source!C114,""))</f>
        <v/>
      </c>
      <c r="J114" s="7" t="str">
        <f>TRIM(Source!T114&amp;" "&amp;Source!U114&amp;" "&amp;IF(Source!V114="","",Source!V114&amp;"s")&amp;" "&amp;IF(Source!W114="","",Source!W114&amp;"M"))</f>
        <v/>
      </c>
      <c r="K114" s="7" t="str">
        <f>IF(Source!X114="","",Source!X114)</f>
        <v/>
      </c>
      <c r="L114" s="7" t="str">
        <f>IF(Source!Y114="","",Source!Y114)</f>
        <v/>
      </c>
      <c r="M114" s="7" t="str">
        <f>IF(Source!Z114="","",Source!Z114)</f>
        <v/>
      </c>
      <c r="N114" s="7" t="str">
        <f>IF(Source!AA114="","",Source!AA114)</f>
        <v/>
      </c>
      <c r="O114" s="7" t="str">
        <f>IF(Source!AB114="","",Source!AB114)</f>
        <v/>
      </c>
      <c r="P114" s="7" t="str">
        <f>IF(Source!AC114="","",Source!AC114)</f>
        <v/>
      </c>
      <c r="Q114" s="7" t="str">
        <f>IF(Source!AD114="","",TEXT(Source!AD114,"000000000"))</f>
        <v/>
      </c>
      <c r="R114" s="7" t="str">
        <f>IF(Source!AE114="","","physical AIS type "&amp;Source!AE114)</f>
        <v/>
      </c>
      <c r="S114" s="7" t="str">
        <f>IF(Source!AF114="","",IF(LEN(Source!AF114)=1,UPPER(Source!AF114),"yes"))</f>
        <v/>
      </c>
      <c r="T114" s="7" t="str">
        <f>IF(Source!AG114="","",Source!AG114)</f>
        <v/>
      </c>
      <c r="U114" s="7" t="str">
        <f>IF(Source!AH114="","",YEAR(Source!AH114)&amp;"-"&amp;TEXT(MONTH(Source!AH114),"00")&amp;"-"&amp;TEXT(DAY(Source!AH114),"00"))</f>
        <v/>
      </c>
      <c r="V114" s="7" t="str">
        <f>IF(Source!AI114="","",IF(OR(UPPER(Source!AI114)="YES",UPPER(Source!AI114)="Y"),"visually conspicuous",IF(OR(UPPER(Source!AI114)="NO",UPPER(Source!AI114)="N"),"not visually conspicuous",Source!AI114)))</f>
        <v/>
      </c>
      <c r="W114" s="7" t="str">
        <f>IF(Source!AJ114="","",Source!AJ114)</f>
        <v/>
      </c>
    </row>
    <row r="115">
      <c r="A115" s="7" t="str">
        <f>IF(Source!A115="","",Source!A115&amp;"")</f>
        <v/>
      </c>
      <c r="B115" s="7" t="str">
        <f>TRIM(Source!C115&amp;" "&amp;Source!B115&amp;" "&amp;Source!D115)</f>
        <v/>
      </c>
      <c r="C115" s="7" t="str">
        <f>IF(Source!E115="","",Source!E115)</f>
        <v/>
      </c>
      <c r="D115" s="7" t="str">
        <f>IF(Source!F115="","",ROUND(IF(UPPER(Source!I115)="S",-1,1)*(N(Source!F115)+N(Source!G115)/60+N(Source!H115)/3600),7))</f>
        <v/>
      </c>
      <c r="E115" s="7" t="str">
        <f>IF(Source!J115="","",ROUND(IF(UPPER(Source!M115)="W",-1,1)*(N(Source!J115)+N(Source!K115)/60+N(Source!L115)/3600),7))</f>
        <v/>
      </c>
      <c r="F115" s="7" t="str">
        <f>SUBSTITUTE(TRIM(Source!N115&amp;" "&amp;Source!O115&amp;" "&amp;Source!P115)," ","/")</f>
        <v/>
      </c>
      <c r="G115" s="7" t="str">
        <f>IF(Source!Q115="","",Source!Q115)</f>
        <v/>
      </c>
      <c r="H115" s="7" t="str">
        <f>IF(Source!R115="","",Source!R115)</f>
        <v/>
      </c>
      <c r="I115" s="7" t="str">
        <f>IF(Source!S115&lt;&gt;"",Source!S115,IF(Source!C115&lt;&gt;"",Source!C115,""))</f>
        <v/>
      </c>
      <c r="J115" s="7" t="str">
        <f>TRIM(Source!T115&amp;" "&amp;Source!U115&amp;" "&amp;IF(Source!V115="","",Source!V115&amp;"s")&amp;" "&amp;IF(Source!W115="","",Source!W115&amp;"M"))</f>
        <v/>
      </c>
      <c r="K115" s="7" t="str">
        <f>IF(Source!X115="","",Source!X115)</f>
        <v/>
      </c>
      <c r="L115" s="7" t="str">
        <f>IF(Source!Y115="","",Source!Y115)</f>
        <v/>
      </c>
      <c r="M115" s="7" t="str">
        <f>IF(Source!Z115="","",Source!Z115)</f>
        <v/>
      </c>
      <c r="N115" s="7" t="str">
        <f>IF(Source!AA115="","",Source!AA115)</f>
        <v/>
      </c>
      <c r="O115" s="7" t="str">
        <f>IF(Source!AB115="","",Source!AB115)</f>
        <v/>
      </c>
      <c r="P115" s="7" t="str">
        <f>IF(Source!AC115="","",Source!AC115)</f>
        <v/>
      </c>
      <c r="Q115" s="7" t="str">
        <f>IF(Source!AD115="","",TEXT(Source!AD115,"000000000"))</f>
        <v/>
      </c>
      <c r="R115" s="7" t="str">
        <f>IF(Source!AE115="","","physical AIS type "&amp;Source!AE115)</f>
        <v/>
      </c>
      <c r="S115" s="7" t="str">
        <f>IF(Source!AF115="","",IF(LEN(Source!AF115)=1,UPPER(Source!AF115),"yes"))</f>
        <v/>
      </c>
      <c r="T115" s="7" t="str">
        <f>IF(Source!AG115="","",Source!AG115)</f>
        <v/>
      </c>
      <c r="U115" s="7" t="str">
        <f>IF(Source!AH115="","",YEAR(Source!AH115)&amp;"-"&amp;TEXT(MONTH(Source!AH115),"00")&amp;"-"&amp;TEXT(DAY(Source!AH115),"00"))</f>
        <v/>
      </c>
      <c r="V115" s="7" t="str">
        <f>IF(Source!AI115="","",IF(OR(UPPER(Source!AI115)="YES",UPPER(Source!AI115)="Y"),"visually conspicuous",IF(OR(UPPER(Source!AI115)="NO",UPPER(Source!AI115)="N"),"not visually conspicuous",Source!AI115)))</f>
        <v/>
      </c>
      <c r="W115" s="7" t="str">
        <f>IF(Source!AJ115="","",Source!AJ115)</f>
        <v/>
      </c>
    </row>
    <row r="116">
      <c r="A116" s="7" t="str">
        <f>IF(Source!A116="","",Source!A116&amp;"")</f>
        <v/>
      </c>
      <c r="B116" s="7" t="str">
        <f>TRIM(Source!C116&amp;" "&amp;Source!B116&amp;" "&amp;Source!D116)</f>
        <v/>
      </c>
      <c r="C116" s="7" t="str">
        <f>IF(Source!E116="","",Source!E116)</f>
        <v/>
      </c>
      <c r="D116" s="7" t="str">
        <f>IF(Source!F116="","",ROUND(IF(UPPER(Source!I116)="S",-1,1)*(N(Source!F116)+N(Source!G116)/60+N(Source!H116)/3600),7))</f>
        <v/>
      </c>
      <c r="E116" s="7" t="str">
        <f>IF(Source!J116="","",ROUND(IF(UPPER(Source!M116)="W",-1,1)*(N(Source!J116)+N(Source!K116)/60+N(Source!L116)/3600),7))</f>
        <v/>
      </c>
      <c r="F116" s="7" t="str">
        <f>SUBSTITUTE(TRIM(Source!N116&amp;" "&amp;Source!O116&amp;" "&amp;Source!P116)," ","/")</f>
        <v/>
      </c>
      <c r="G116" s="7" t="str">
        <f>IF(Source!Q116="","",Source!Q116)</f>
        <v/>
      </c>
      <c r="H116" s="7" t="str">
        <f>IF(Source!R116="","",Source!R116)</f>
        <v/>
      </c>
      <c r="I116" s="7" t="str">
        <f>IF(Source!S116&lt;&gt;"",Source!S116,IF(Source!C116&lt;&gt;"",Source!C116,""))</f>
        <v/>
      </c>
      <c r="J116" s="7" t="str">
        <f>TRIM(Source!T116&amp;" "&amp;Source!U116&amp;" "&amp;IF(Source!V116="","",Source!V116&amp;"s")&amp;" "&amp;IF(Source!W116="","",Source!W116&amp;"M"))</f>
        <v/>
      </c>
      <c r="K116" s="7" t="str">
        <f>IF(Source!X116="","",Source!X116)</f>
        <v/>
      </c>
      <c r="L116" s="7" t="str">
        <f>IF(Source!Y116="","",Source!Y116)</f>
        <v/>
      </c>
      <c r="M116" s="7" t="str">
        <f>IF(Source!Z116="","",Source!Z116)</f>
        <v/>
      </c>
      <c r="N116" s="7" t="str">
        <f>IF(Source!AA116="","",Source!AA116)</f>
        <v/>
      </c>
      <c r="O116" s="7" t="str">
        <f>IF(Source!AB116="","",Source!AB116)</f>
        <v/>
      </c>
      <c r="P116" s="7" t="str">
        <f>IF(Source!AC116="","",Source!AC116)</f>
        <v/>
      </c>
      <c r="Q116" s="7" t="str">
        <f>IF(Source!AD116="","",TEXT(Source!AD116,"000000000"))</f>
        <v/>
      </c>
      <c r="R116" s="7" t="str">
        <f>IF(Source!AE116="","","physical AIS type "&amp;Source!AE116)</f>
        <v/>
      </c>
      <c r="S116" s="7" t="str">
        <f>IF(Source!AF116="","",IF(LEN(Source!AF116)=1,UPPER(Source!AF116),"yes"))</f>
        <v/>
      </c>
      <c r="T116" s="7" t="str">
        <f>IF(Source!AG116="","",Source!AG116)</f>
        <v/>
      </c>
      <c r="U116" s="7" t="str">
        <f>IF(Source!AH116="","",YEAR(Source!AH116)&amp;"-"&amp;TEXT(MONTH(Source!AH116),"00")&amp;"-"&amp;TEXT(DAY(Source!AH116),"00"))</f>
        <v/>
      </c>
      <c r="V116" s="7" t="str">
        <f>IF(Source!AI116="","",IF(OR(UPPER(Source!AI116)="YES",UPPER(Source!AI116)="Y"),"visually conspicuous",IF(OR(UPPER(Source!AI116)="NO",UPPER(Source!AI116)="N"),"not visually conspicuous",Source!AI116)))</f>
        <v/>
      </c>
      <c r="W116" s="7" t="str">
        <f>IF(Source!AJ116="","",Source!AJ116)</f>
        <v/>
      </c>
    </row>
    <row r="117">
      <c r="A117" s="7" t="str">
        <f>IF(Source!A117="","",Source!A117&amp;"")</f>
        <v/>
      </c>
      <c r="B117" s="7" t="str">
        <f>TRIM(Source!C117&amp;" "&amp;Source!B117&amp;" "&amp;Source!D117)</f>
        <v/>
      </c>
      <c r="C117" s="7" t="str">
        <f>IF(Source!E117="","",Source!E117)</f>
        <v/>
      </c>
      <c r="D117" s="7" t="str">
        <f>IF(Source!F117="","",ROUND(IF(UPPER(Source!I117)="S",-1,1)*(N(Source!F117)+N(Source!G117)/60+N(Source!H117)/3600),7))</f>
        <v/>
      </c>
      <c r="E117" s="7" t="str">
        <f>IF(Source!J117="","",ROUND(IF(UPPER(Source!M117)="W",-1,1)*(N(Source!J117)+N(Source!K117)/60+N(Source!L117)/3600),7))</f>
        <v/>
      </c>
      <c r="F117" s="7" t="str">
        <f>SUBSTITUTE(TRIM(Source!N117&amp;" "&amp;Source!O117&amp;" "&amp;Source!P117)," ","/")</f>
        <v/>
      </c>
      <c r="G117" s="7" t="str">
        <f>IF(Source!Q117="","",Source!Q117)</f>
        <v/>
      </c>
      <c r="H117" s="7" t="str">
        <f>IF(Source!R117="","",Source!R117)</f>
        <v/>
      </c>
      <c r="I117" s="7" t="str">
        <f>IF(Source!S117&lt;&gt;"",Source!S117,IF(Source!C117&lt;&gt;"",Source!C117,""))</f>
        <v/>
      </c>
      <c r="J117" s="7" t="str">
        <f>TRIM(Source!T117&amp;" "&amp;Source!U117&amp;" "&amp;IF(Source!V117="","",Source!V117&amp;"s")&amp;" "&amp;IF(Source!W117="","",Source!W117&amp;"M"))</f>
        <v/>
      </c>
      <c r="K117" s="7" t="str">
        <f>IF(Source!X117="","",Source!X117)</f>
        <v/>
      </c>
      <c r="L117" s="7" t="str">
        <f>IF(Source!Y117="","",Source!Y117)</f>
        <v/>
      </c>
      <c r="M117" s="7" t="str">
        <f>IF(Source!Z117="","",Source!Z117)</f>
        <v/>
      </c>
      <c r="N117" s="7" t="str">
        <f>IF(Source!AA117="","",Source!AA117)</f>
        <v/>
      </c>
      <c r="O117" s="7" t="str">
        <f>IF(Source!AB117="","",Source!AB117)</f>
        <v/>
      </c>
      <c r="P117" s="7" t="str">
        <f>IF(Source!AC117="","",Source!AC117)</f>
        <v/>
      </c>
      <c r="Q117" s="7" t="str">
        <f>IF(Source!AD117="","",TEXT(Source!AD117,"000000000"))</f>
        <v/>
      </c>
      <c r="R117" s="7" t="str">
        <f>IF(Source!AE117="","","physical AIS type "&amp;Source!AE117)</f>
        <v/>
      </c>
      <c r="S117" s="7" t="str">
        <f>IF(Source!AF117="","",IF(LEN(Source!AF117)=1,UPPER(Source!AF117),"yes"))</f>
        <v/>
      </c>
      <c r="T117" s="7" t="str">
        <f>IF(Source!AG117="","",Source!AG117)</f>
        <v/>
      </c>
      <c r="U117" s="7" t="str">
        <f>IF(Source!AH117="","",YEAR(Source!AH117)&amp;"-"&amp;TEXT(MONTH(Source!AH117),"00")&amp;"-"&amp;TEXT(DAY(Source!AH117),"00"))</f>
        <v/>
      </c>
      <c r="V117" s="7" t="str">
        <f>IF(Source!AI117="","",IF(OR(UPPER(Source!AI117)="YES",UPPER(Source!AI117)="Y"),"visually conspicuous",IF(OR(UPPER(Source!AI117)="NO",UPPER(Source!AI117)="N"),"not visually conspicuous",Source!AI117)))</f>
        <v/>
      </c>
      <c r="W117" s="7" t="str">
        <f>IF(Source!AJ117="","",Source!AJ117)</f>
        <v/>
      </c>
    </row>
    <row r="118">
      <c r="A118" s="7" t="str">
        <f>IF(Source!A118="","",Source!A118&amp;"")</f>
        <v/>
      </c>
      <c r="B118" s="7" t="str">
        <f>TRIM(Source!C118&amp;" "&amp;Source!B118&amp;" "&amp;Source!D118)</f>
        <v/>
      </c>
      <c r="C118" s="7" t="str">
        <f>IF(Source!E118="","",Source!E118)</f>
        <v/>
      </c>
      <c r="D118" s="7" t="str">
        <f>IF(Source!F118="","",ROUND(IF(UPPER(Source!I118)="S",-1,1)*(N(Source!F118)+N(Source!G118)/60+N(Source!H118)/3600),7))</f>
        <v/>
      </c>
      <c r="E118" s="7" t="str">
        <f>IF(Source!J118="","",ROUND(IF(UPPER(Source!M118)="W",-1,1)*(N(Source!J118)+N(Source!K118)/60+N(Source!L118)/3600),7))</f>
        <v/>
      </c>
      <c r="F118" s="7" t="str">
        <f>SUBSTITUTE(TRIM(Source!N118&amp;" "&amp;Source!O118&amp;" "&amp;Source!P118)," ","/")</f>
        <v/>
      </c>
      <c r="G118" s="7" t="str">
        <f>IF(Source!Q118="","",Source!Q118)</f>
        <v/>
      </c>
      <c r="H118" s="7" t="str">
        <f>IF(Source!R118="","",Source!R118)</f>
        <v/>
      </c>
      <c r="I118" s="7" t="str">
        <f>IF(Source!S118&lt;&gt;"",Source!S118,IF(Source!C118&lt;&gt;"",Source!C118,""))</f>
        <v/>
      </c>
      <c r="J118" s="7" t="str">
        <f>TRIM(Source!T118&amp;" "&amp;Source!U118&amp;" "&amp;IF(Source!V118="","",Source!V118&amp;"s")&amp;" "&amp;IF(Source!W118="","",Source!W118&amp;"M"))</f>
        <v/>
      </c>
      <c r="K118" s="7" t="str">
        <f>IF(Source!X118="","",Source!X118)</f>
        <v/>
      </c>
      <c r="L118" s="7" t="str">
        <f>IF(Source!Y118="","",Source!Y118)</f>
        <v/>
      </c>
      <c r="M118" s="7" t="str">
        <f>IF(Source!Z118="","",Source!Z118)</f>
        <v/>
      </c>
      <c r="N118" s="7" t="str">
        <f>IF(Source!AA118="","",Source!AA118)</f>
        <v/>
      </c>
      <c r="O118" s="7" t="str">
        <f>IF(Source!AB118="","",Source!AB118)</f>
        <v/>
      </c>
      <c r="P118" s="7" t="str">
        <f>IF(Source!AC118="","",Source!AC118)</f>
        <v/>
      </c>
      <c r="Q118" s="7" t="str">
        <f>IF(Source!AD118="","",TEXT(Source!AD118,"000000000"))</f>
        <v/>
      </c>
      <c r="R118" s="7" t="str">
        <f>IF(Source!AE118="","","physical AIS type "&amp;Source!AE118)</f>
        <v/>
      </c>
      <c r="S118" s="7" t="str">
        <f>IF(Source!AF118="","",IF(LEN(Source!AF118)=1,UPPER(Source!AF118),"yes"))</f>
        <v/>
      </c>
      <c r="T118" s="7" t="str">
        <f>IF(Source!AG118="","",Source!AG118)</f>
        <v/>
      </c>
      <c r="U118" s="7" t="str">
        <f>IF(Source!AH118="","",YEAR(Source!AH118)&amp;"-"&amp;TEXT(MONTH(Source!AH118),"00")&amp;"-"&amp;TEXT(DAY(Source!AH118),"00"))</f>
        <v/>
      </c>
      <c r="V118" s="7" t="str">
        <f>IF(Source!AI118="","",IF(OR(UPPER(Source!AI118)="YES",UPPER(Source!AI118)="Y"),"visually conspicuous",IF(OR(UPPER(Source!AI118)="NO",UPPER(Source!AI118)="N"),"not visually conspicuous",Source!AI118)))</f>
        <v/>
      </c>
      <c r="W118" s="7" t="str">
        <f>IF(Source!AJ118="","",Source!AJ118)</f>
        <v/>
      </c>
    </row>
    <row r="119">
      <c r="A119" s="7" t="str">
        <f>IF(Source!A119="","",Source!A119&amp;"")</f>
        <v/>
      </c>
      <c r="B119" s="7" t="str">
        <f>TRIM(Source!C119&amp;" "&amp;Source!B119&amp;" "&amp;Source!D119)</f>
        <v/>
      </c>
      <c r="C119" s="7" t="str">
        <f>IF(Source!E119="","",Source!E119)</f>
        <v/>
      </c>
      <c r="D119" s="7" t="str">
        <f>IF(Source!F119="","",ROUND(IF(UPPER(Source!I119)="S",-1,1)*(N(Source!F119)+N(Source!G119)/60+N(Source!H119)/3600),7))</f>
        <v/>
      </c>
      <c r="E119" s="7" t="str">
        <f>IF(Source!J119="","",ROUND(IF(UPPER(Source!M119)="W",-1,1)*(N(Source!J119)+N(Source!K119)/60+N(Source!L119)/3600),7))</f>
        <v/>
      </c>
      <c r="F119" s="7" t="str">
        <f>SUBSTITUTE(TRIM(Source!N119&amp;" "&amp;Source!O119&amp;" "&amp;Source!P119)," ","/")</f>
        <v/>
      </c>
      <c r="G119" s="7" t="str">
        <f>IF(Source!Q119="","",Source!Q119)</f>
        <v/>
      </c>
      <c r="H119" s="7" t="str">
        <f>IF(Source!R119="","",Source!R119)</f>
        <v/>
      </c>
      <c r="I119" s="7" t="str">
        <f>IF(Source!S119&lt;&gt;"",Source!S119,IF(Source!C119&lt;&gt;"",Source!C119,""))</f>
        <v/>
      </c>
      <c r="J119" s="7" t="str">
        <f>TRIM(Source!T119&amp;" "&amp;Source!U119&amp;" "&amp;IF(Source!V119="","",Source!V119&amp;"s")&amp;" "&amp;IF(Source!W119="","",Source!W119&amp;"M"))</f>
        <v/>
      </c>
      <c r="K119" s="7" t="str">
        <f>IF(Source!X119="","",Source!X119)</f>
        <v/>
      </c>
      <c r="L119" s="7" t="str">
        <f>IF(Source!Y119="","",Source!Y119)</f>
        <v/>
      </c>
      <c r="M119" s="7" t="str">
        <f>IF(Source!Z119="","",Source!Z119)</f>
        <v/>
      </c>
      <c r="N119" s="7" t="str">
        <f>IF(Source!AA119="","",Source!AA119)</f>
        <v/>
      </c>
      <c r="O119" s="7" t="str">
        <f>IF(Source!AB119="","",Source!AB119)</f>
        <v/>
      </c>
      <c r="P119" s="7" t="str">
        <f>IF(Source!AC119="","",Source!AC119)</f>
        <v/>
      </c>
      <c r="Q119" s="7" t="str">
        <f>IF(Source!AD119="","",TEXT(Source!AD119,"000000000"))</f>
        <v/>
      </c>
      <c r="R119" s="7" t="str">
        <f>IF(Source!AE119="","","physical AIS type "&amp;Source!AE119)</f>
        <v/>
      </c>
      <c r="S119" s="7" t="str">
        <f>IF(Source!AF119="","",IF(LEN(Source!AF119)=1,UPPER(Source!AF119),"yes"))</f>
        <v/>
      </c>
      <c r="T119" s="7" t="str">
        <f>IF(Source!AG119="","",Source!AG119)</f>
        <v/>
      </c>
      <c r="U119" s="7" t="str">
        <f>IF(Source!AH119="","",YEAR(Source!AH119)&amp;"-"&amp;TEXT(MONTH(Source!AH119),"00")&amp;"-"&amp;TEXT(DAY(Source!AH119),"00"))</f>
        <v/>
      </c>
      <c r="V119" s="7" t="str">
        <f>IF(Source!AI119="","",IF(OR(UPPER(Source!AI119)="YES",UPPER(Source!AI119)="Y"),"visually conspicuous",IF(OR(UPPER(Source!AI119)="NO",UPPER(Source!AI119)="N"),"not visually conspicuous",Source!AI119)))</f>
        <v/>
      </c>
      <c r="W119" s="7" t="str">
        <f>IF(Source!AJ119="","",Source!AJ119)</f>
        <v/>
      </c>
    </row>
    <row r="120">
      <c r="A120" s="7" t="str">
        <f>IF(Source!A120="","",Source!A120&amp;"")</f>
        <v/>
      </c>
      <c r="B120" s="7" t="str">
        <f>TRIM(Source!C120&amp;" "&amp;Source!B120&amp;" "&amp;Source!D120)</f>
        <v/>
      </c>
      <c r="C120" s="7" t="str">
        <f>IF(Source!E120="","",Source!E120)</f>
        <v/>
      </c>
      <c r="D120" s="7" t="str">
        <f>IF(Source!F120="","",ROUND(IF(UPPER(Source!I120)="S",-1,1)*(N(Source!F120)+N(Source!G120)/60+N(Source!H120)/3600),7))</f>
        <v/>
      </c>
      <c r="E120" s="7" t="str">
        <f>IF(Source!J120="","",ROUND(IF(UPPER(Source!M120)="W",-1,1)*(N(Source!J120)+N(Source!K120)/60+N(Source!L120)/3600),7))</f>
        <v/>
      </c>
      <c r="F120" s="7" t="str">
        <f>SUBSTITUTE(TRIM(Source!N120&amp;" "&amp;Source!O120&amp;" "&amp;Source!P120)," ","/")</f>
        <v/>
      </c>
      <c r="G120" s="7" t="str">
        <f>IF(Source!Q120="","",Source!Q120)</f>
        <v/>
      </c>
      <c r="H120" s="7" t="str">
        <f>IF(Source!R120="","",Source!R120)</f>
        <v/>
      </c>
      <c r="I120" s="7" t="str">
        <f>IF(Source!S120&lt;&gt;"",Source!S120,IF(Source!C120&lt;&gt;"",Source!C120,""))</f>
        <v/>
      </c>
      <c r="J120" s="7" t="str">
        <f>TRIM(Source!T120&amp;" "&amp;Source!U120&amp;" "&amp;IF(Source!V120="","",Source!V120&amp;"s")&amp;" "&amp;IF(Source!W120="","",Source!W120&amp;"M"))</f>
        <v/>
      </c>
      <c r="K120" s="7" t="str">
        <f>IF(Source!X120="","",Source!X120)</f>
        <v/>
      </c>
      <c r="L120" s="7" t="str">
        <f>IF(Source!Y120="","",Source!Y120)</f>
        <v/>
      </c>
      <c r="M120" s="7" t="str">
        <f>IF(Source!Z120="","",Source!Z120)</f>
        <v/>
      </c>
      <c r="N120" s="7" t="str">
        <f>IF(Source!AA120="","",Source!AA120)</f>
        <v/>
      </c>
      <c r="O120" s="7" t="str">
        <f>IF(Source!AB120="","",Source!AB120)</f>
        <v/>
      </c>
      <c r="P120" s="7" t="str">
        <f>IF(Source!AC120="","",Source!AC120)</f>
        <v/>
      </c>
      <c r="Q120" s="7" t="str">
        <f>IF(Source!AD120="","",TEXT(Source!AD120,"000000000"))</f>
        <v/>
      </c>
      <c r="R120" s="7" t="str">
        <f>IF(Source!AE120="","","physical AIS type "&amp;Source!AE120)</f>
        <v/>
      </c>
      <c r="S120" s="7" t="str">
        <f>IF(Source!AF120="","",IF(LEN(Source!AF120)=1,UPPER(Source!AF120),"yes"))</f>
        <v/>
      </c>
      <c r="T120" s="7" t="str">
        <f>IF(Source!AG120="","",Source!AG120)</f>
        <v/>
      </c>
      <c r="U120" s="7" t="str">
        <f>IF(Source!AH120="","",YEAR(Source!AH120)&amp;"-"&amp;TEXT(MONTH(Source!AH120),"00")&amp;"-"&amp;TEXT(DAY(Source!AH120),"00"))</f>
        <v/>
      </c>
      <c r="V120" s="7" t="str">
        <f>IF(Source!AI120="","",IF(OR(UPPER(Source!AI120)="YES",UPPER(Source!AI120)="Y"),"visually conspicuous",IF(OR(UPPER(Source!AI120)="NO",UPPER(Source!AI120)="N"),"not visually conspicuous",Source!AI120)))</f>
        <v/>
      </c>
      <c r="W120" s="7" t="str">
        <f>IF(Source!AJ120="","",Source!AJ120)</f>
        <v/>
      </c>
    </row>
    <row r="121">
      <c r="A121" s="7" t="str">
        <f>IF(Source!A121="","",Source!A121&amp;"")</f>
        <v/>
      </c>
      <c r="B121" s="7" t="str">
        <f>TRIM(Source!C121&amp;" "&amp;Source!B121&amp;" "&amp;Source!D121)</f>
        <v/>
      </c>
      <c r="C121" s="7" t="str">
        <f>IF(Source!E121="","",Source!E121)</f>
        <v/>
      </c>
      <c r="D121" s="7" t="str">
        <f>IF(Source!F121="","",ROUND(IF(UPPER(Source!I121)="S",-1,1)*(N(Source!F121)+N(Source!G121)/60+N(Source!H121)/3600),7))</f>
        <v/>
      </c>
      <c r="E121" s="7" t="str">
        <f>IF(Source!J121="","",ROUND(IF(UPPER(Source!M121)="W",-1,1)*(N(Source!J121)+N(Source!K121)/60+N(Source!L121)/3600),7))</f>
        <v/>
      </c>
      <c r="F121" s="7" t="str">
        <f>SUBSTITUTE(TRIM(Source!N121&amp;" "&amp;Source!O121&amp;" "&amp;Source!P121)," ","/")</f>
        <v/>
      </c>
      <c r="G121" s="7" t="str">
        <f>IF(Source!Q121="","",Source!Q121)</f>
        <v/>
      </c>
      <c r="H121" s="7" t="str">
        <f>IF(Source!R121="","",Source!R121)</f>
        <v/>
      </c>
      <c r="I121" s="7" t="str">
        <f>IF(Source!S121&lt;&gt;"",Source!S121,IF(Source!C121&lt;&gt;"",Source!C121,""))</f>
        <v/>
      </c>
      <c r="J121" s="7" t="str">
        <f>TRIM(Source!T121&amp;" "&amp;Source!U121&amp;" "&amp;IF(Source!V121="","",Source!V121&amp;"s")&amp;" "&amp;IF(Source!W121="","",Source!W121&amp;"M"))</f>
        <v/>
      </c>
      <c r="K121" s="7" t="str">
        <f>IF(Source!X121="","",Source!X121)</f>
        <v/>
      </c>
      <c r="L121" s="7" t="str">
        <f>IF(Source!Y121="","",Source!Y121)</f>
        <v/>
      </c>
      <c r="M121" s="7" t="str">
        <f>IF(Source!Z121="","",Source!Z121)</f>
        <v/>
      </c>
      <c r="N121" s="7" t="str">
        <f>IF(Source!AA121="","",Source!AA121)</f>
        <v/>
      </c>
      <c r="O121" s="7" t="str">
        <f>IF(Source!AB121="","",Source!AB121)</f>
        <v/>
      </c>
      <c r="P121" s="7" t="str">
        <f>IF(Source!AC121="","",Source!AC121)</f>
        <v/>
      </c>
      <c r="Q121" s="7" t="str">
        <f>IF(Source!AD121="","",TEXT(Source!AD121,"000000000"))</f>
        <v/>
      </c>
      <c r="R121" s="7" t="str">
        <f>IF(Source!AE121="","","physical AIS type "&amp;Source!AE121)</f>
        <v/>
      </c>
      <c r="S121" s="7" t="str">
        <f>IF(Source!AF121="","",IF(LEN(Source!AF121)=1,UPPER(Source!AF121),"yes"))</f>
        <v/>
      </c>
      <c r="T121" s="7" t="str">
        <f>IF(Source!AG121="","",Source!AG121)</f>
        <v/>
      </c>
      <c r="U121" s="7" t="str">
        <f>IF(Source!AH121="","",YEAR(Source!AH121)&amp;"-"&amp;TEXT(MONTH(Source!AH121),"00")&amp;"-"&amp;TEXT(DAY(Source!AH121),"00"))</f>
        <v/>
      </c>
      <c r="V121" s="7" t="str">
        <f>IF(Source!AI121="","",IF(OR(UPPER(Source!AI121)="YES",UPPER(Source!AI121)="Y"),"visually conspicuous",IF(OR(UPPER(Source!AI121)="NO",UPPER(Source!AI121)="N"),"not visually conspicuous",Source!AI121)))</f>
        <v/>
      </c>
      <c r="W121" s="7" t="str">
        <f>IF(Source!AJ121="","",Source!AJ121)</f>
        <v/>
      </c>
    </row>
    <row r="122">
      <c r="A122" s="7" t="str">
        <f>IF(Source!A122="","",Source!A122&amp;"")</f>
        <v/>
      </c>
      <c r="B122" s="7" t="str">
        <f>TRIM(Source!C122&amp;" "&amp;Source!B122&amp;" "&amp;Source!D122)</f>
        <v/>
      </c>
      <c r="C122" s="7" t="str">
        <f>IF(Source!E122="","",Source!E122)</f>
        <v/>
      </c>
      <c r="D122" s="7" t="str">
        <f>IF(Source!F122="","",ROUND(IF(UPPER(Source!I122)="S",-1,1)*(N(Source!F122)+N(Source!G122)/60+N(Source!H122)/3600),7))</f>
        <v/>
      </c>
      <c r="E122" s="7" t="str">
        <f>IF(Source!J122="","",ROUND(IF(UPPER(Source!M122)="W",-1,1)*(N(Source!J122)+N(Source!K122)/60+N(Source!L122)/3600),7))</f>
        <v/>
      </c>
      <c r="F122" s="7" t="str">
        <f>SUBSTITUTE(TRIM(Source!N122&amp;" "&amp;Source!O122&amp;" "&amp;Source!P122)," ","/")</f>
        <v/>
      </c>
      <c r="G122" s="7" t="str">
        <f>IF(Source!Q122="","",Source!Q122)</f>
        <v/>
      </c>
      <c r="H122" s="7" t="str">
        <f>IF(Source!R122="","",Source!R122)</f>
        <v/>
      </c>
      <c r="I122" s="7" t="str">
        <f>IF(Source!S122&lt;&gt;"",Source!S122,IF(Source!C122&lt;&gt;"",Source!C122,""))</f>
        <v/>
      </c>
      <c r="J122" s="7" t="str">
        <f>TRIM(Source!T122&amp;" "&amp;Source!U122&amp;" "&amp;IF(Source!V122="","",Source!V122&amp;"s")&amp;" "&amp;IF(Source!W122="","",Source!W122&amp;"M"))</f>
        <v/>
      </c>
      <c r="K122" s="7" t="str">
        <f>IF(Source!X122="","",Source!X122)</f>
        <v/>
      </c>
      <c r="L122" s="7" t="str">
        <f>IF(Source!Y122="","",Source!Y122)</f>
        <v/>
      </c>
      <c r="M122" s="7" t="str">
        <f>IF(Source!Z122="","",Source!Z122)</f>
        <v/>
      </c>
      <c r="N122" s="7" t="str">
        <f>IF(Source!AA122="","",Source!AA122)</f>
        <v/>
      </c>
      <c r="O122" s="7" t="str">
        <f>IF(Source!AB122="","",Source!AB122)</f>
        <v/>
      </c>
      <c r="P122" s="7" t="str">
        <f>IF(Source!AC122="","",Source!AC122)</f>
        <v/>
      </c>
      <c r="Q122" s="7" t="str">
        <f>IF(Source!AD122="","",TEXT(Source!AD122,"000000000"))</f>
        <v/>
      </c>
      <c r="R122" s="7" t="str">
        <f>IF(Source!AE122="","","physical AIS type "&amp;Source!AE122)</f>
        <v/>
      </c>
      <c r="S122" s="7" t="str">
        <f>IF(Source!AF122="","",IF(LEN(Source!AF122)=1,UPPER(Source!AF122),"yes"))</f>
        <v/>
      </c>
      <c r="T122" s="7" t="str">
        <f>IF(Source!AG122="","",Source!AG122)</f>
        <v/>
      </c>
      <c r="U122" s="7" t="str">
        <f>IF(Source!AH122="","",YEAR(Source!AH122)&amp;"-"&amp;TEXT(MONTH(Source!AH122),"00")&amp;"-"&amp;TEXT(DAY(Source!AH122),"00"))</f>
        <v/>
      </c>
      <c r="V122" s="7" t="str">
        <f>IF(Source!AI122="","",IF(OR(UPPER(Source!AI122)="YES",UPPER(Source!AI122)="Y"),"visually conspicuous",IF(OR(UPPER(Source!AI122)="NO",UPPER(Source!AI122)="N"),"not visually conspicuous",Source!AI122)))</f>
        <v/>
      </c>
      <c r="W122" s="7" t="str">
        <f>IF(Source!AJ122="","",Source!AJ122)</f>
        <v/>
      </c>
    </row>
    <row r="123">
      <c r="A123" s="7" t="str">
        <f>IF(Source!A123="","",Source!A123&amp;"")</f>
        <v/>
      </c>
      <c r="B123" s="7" t="str">
        <f>TRIM(Source!C123&amp;" "&amp;Source!B123&amp;" "&amp;Source!D123)</f>
        <v/>
      </c>
      <c r="C123" s="7" t="str">
        <f>IF(Source!E123="","",Source!E123)</f>
        <v/>
      </c>
      <c r="D123" s="7" t="str">
        <f>IF(Source!F123="","",ROUND(IF(UPPER(Source!I123)="S",-1,1)*(N(Source!F123)+N(Source!G123)/60+N(Source!H123)/3600),7))</f>
        <v/>
      </c>
      <c r="E123" s="7" t="str">
        <f>IF(Source!J123="","",ROUND(IF(UPPER(Source!M123)="W",-1,1)*(N(Source!J123)+N(Source!K123)/60+N(Source!L123)/3600),7))</f>
        <v/>
      </c>
      <c r="F123" s="7" t="str">
        <f>SUBSTITUTE(TRIM(Source!N123&amp;" "&amp;Source!O123&amp;" "&amp;Source!P123)," ","/")</f>
        <v/>
      </c>
      <c r="G123" s="7" t="str">
        <f>IF(Source!Q123="","",Source!Q123)</f>
        <v/>
      </c>
      <c r="H123" s="7" t="str">
        <f>IF(Source!R123="","",Source!R123)</f>
        <v/>
      </c>
      <c r="I123" s="7" t="str">
        <f>IF(Source!S123&lt;&gt;"",Source!S123,IF(Source!C123&lt;&gt;"",Source!C123,""))</f>
        <v/>
      </c>
      <c r="J123" s="7" t="str">
        <f>TRIM(Source!T123&amp;" "&amp;Source!U123&amp;" "&amp;IF(Source!V123="","",Source!V123&amp;"s")&amp;" "&amp;IF(Source!W123="","",Source!W123&amp;"M"))</f>
        <v/>
      </c>
      <c r="K123" s="7" t="str">
        <f>IF(Source!X123="","",Source!X123)</f>
        <v/>
      </c>
      <c r="L123" s="7" t="str">
        <f>IF(Source!Y123="","",Source!Y123)</f>
        <v/>
      </c>
      <c r="M123" s="7" t="str">
        <f>IF(Source!Z123="","",Source!Z123)</f>
        <v/>
      </c>
      <c r="N123" s="7" t="str">
        <f>IF(Source!AA123="","",Source!AA123)</f>
        <v/>
      </c>
      <c r="O123" s="7" t="str">
        <f>IF(Source!AB123="","",Source!AB123)</f>
        <v/>
      </c>
      <c r="P123" s="7" t="str">
        <f>IF(Source!AC123="","",Source!AC123)</f>
        <v/>
      </c>
      <c r="Q123" s="7" t="str">
        <f>IF(Source!AD123="","",TEXT(Source!AD123,"000000000"))</f>
        <v/>
      </c>
      <c r="R123" s="7" t="str">
        <f>IF(Source!AE123="","","physical AIS type "&amp;Source!AE123)</f>
        <v/>
      </c>
      <c r="S123" s="7" t="str">
        <f>IF(Source!AF123="","",IF(LEN(Source!AF123)=1,UPPER(Source!AF123),"yes"))</f>
        <v/>
      </c>
      <c r="T123" s="7" t="str">
        <f>IF(Source!AG123="","",Source!AG123)</f>
        <v/>
      </c>
      <c r="U123" s="7" t="str">
        <f>IF(Source!AH123="","",YEAR(Source!AH123)&amp;"-"&amp;TEXT(MONTH(Source!AH123),"00")&amp;"-"&amp;TEXT(DAY(Source!AH123),"00"))</f>
        <v/>
      </c>
      <c r="V123" s="7" t="str">
        <f>IF(Source!AI123="","",IF(OR(UPPER(Source!AI123)="YES",UPPER(Source!AI123)="Y"),"visually conspicuous",IF(OR(UPPER(Source!AI123)="NO",UPPER(Source!AI123)="N"),"not visually conspicuous",Source!AI123)))</f>
        <v/>
      </c>
      <c r="W123" s="7" t="str">
        <f>IF(Source!AJ123="","",Source!AJ123)</f>
        <v/>
      </c>
    </row>
    <row r="124">
      <c r="A124" s="7" t="str">
        <f>IF(Source!A124="","",Source!A124&amp;"")</f>
        <v/>
      </c>
      <c r="B124" s="7" t="str">
        <f>TRIM(Source!C124&amp;" "&amp;Source!B124&amp;" "&amp;Source!D124)</f>
        <v/>
      </c>
      <c r="C124" s="7" t="str">
        <f>IF(Source!E124="","",Source!E124)</f>
        <v/>
      </c>
      <c r="D124" s="7" t="str">
        <f>IF(Source!F124="","",ROUND(IF(UPPER(Source!I124)="S",-1,1)*(N(Source!F124)+N(Source!G124)/60+N(Source!H124)/3600),7))</f>
        <v/>
      </c>
      <c r="E124" s="7" t="str">
        <f>IF(Source!J124="","",ROUND(IF(UPPER(Source!M124)="W",-1,1)*(N(Source!J124)+N(Source!K124)/60+N(Source!L124)/3600),7))</f>
        <v/>
      </c>
      <c r="F124" s="7" t="str">
        <f>SUBSTITUTE(TRIM(Source!N124&amp;" "&amp;Source!O124&amp;" "&amp;Source!P124)," ","/")</f>
        <v/>
      </c>
      <c r="G124" s="7" t="str">
        <f>IF(Source!Q124="","",Source!Q124)</f>
        <v/>
      </c>
      <c r="H124" s="7" t="str">
        <f>IF(Source!R124="","",Source!R124)</f>
        <v/>
      </c>
      <c r="I124" s="7" t="str">
        <f>IF(Source!S124&lt;&gt;"",Source!S124,IF(Source!C124&lt;&gt;"",Source!C124,""))</f>
        <v/>
      </c>
      <c r="J124" s="7" t="str">
        <f>TRIM(Source!T124&amp;" "&amp;Source!U124&amp;" "&amp;IF(Source!V124="","",Source!V124&amp;"s")&amp;" "&amp;IF(Source!W124="","",Source!W124&amp;"M"))</f>
        <v/>
      </c>
      <c r="K124" s="7" t="str">
        <f>IF(Source!X124="","",Source!X124)</f>
        <v/>
      </c>
      <c r="L124" s="7" t="str">
        <f>IF(Source!Y124="","",Source!Y124)</f>
        <v/>
      </c>
      <c r="M124" s="7" t="str">
        <f>IF(Source!Z124="","",Source!Z124)</f>
        <v/>
      </c>
      <c r="N124" s="7" t="str">
        <f>IF(Source!AA124="","",Source!AA124)</f>
        <v/>
      </c>
      <c r="O124" s="7" t="str">
        <f>IF(Source!AB124="","",Source!AB124)</f>
        <v/>
      </c>
      <c r="P124" s="7" t="str">
        <f>IF(Source!AC124="","",Source!AC124)</f>
        <v/>
      </c>
      <c r="Q124" s="7" t="str">
        <f>IF(Source!AD124="","",TEXT(Source!AD124,"000000000"))</f>
        <v/>
      </c>
      <c r="R124" s="7" t="str">
        <f>IF(Source!AE124="","","physical AIS type "&amp;Source!AE124)</f>
        <v/>
      </c>
      <c r="S124" s="7" t="str">
        <f>IF(Source!AF124="","",IF(LEN(Source!AF124)=1,UPPER(Source!AF124),"yes"))</f>
        <v/>
      </c>
      <c r="T124" s="7" t="str">
        <f>IF(Source!AG124="","",Source!AG124)</f>
        <v/>
      </c>
      <c r="U124" s="7" t="str">
        <f>IF(Source!AH124="","",YEAR(Source!AH124)&amp;"-"&amp;TEXT(MONTH(Source!AH124),"00")&amp;"-"&amp;TEXT(DAY(Source!AH124),"00"))</f>
        <v/>
      </c>
      <c r="V124" s="7" t="str">
        <f>IF(Source!AI124="","",IF(OR(UPPER(Source!AI124)="YES",UPPER(Source!AI124)="Y"),"visually conspicuous",IF(OR(UPPER(Source!AI124)="NO",UPPER(Source!AI124)="N"),"not visually conspicuous",Source!AI124)))</f>
        <v/>
      </c>
      <c r="W124" s="7" t="str">
        <f>IF(Source!AJ124="","",Source!AJ124)</f>
        <v/>
      </c>
    </row>
    <row r="125">
      <c r="A125" s="7" t="str">
        <f>IF(Source!A125="","",Source!A125&amp;"")</f>
        <v/>
      </c>
      <c r="B125" s="7" t="str">
        <f>TRIM(Source!C125&amp;" "&amp;Source!B125&amp;" "&amp;Source!D125)</f>
        <v/>
      </c>
      <c r="C125" s="7" t="str">
        <f>IF(Source!E125="","",Source!E125)</f>
        <v/>
      </c>
      <c r="D125" s="7" t="str">
        <f>IF(Source!F125="","",ROUND(IF(UPPER(Source!I125)="S",-1,1)*(N(Source!F125)+N(Source!G125)/60+N(Source!H125)/3600),7))</f>
        <v/>
      </c>
      <c r="E125" s="7" t="str">
        <f>IF(Source!J125="","",ROUND(IF(UPPER(Source!M125)="W",-1,1)*(N(Source!J125)+N(Source!K125)/60+N(Source!L125)/3600),7))</f>
        <v/>
      </c>
      <c r="F125" s="7" t="str">
        <f>SUBSTITUTE(TRIM(Source!N125&amp;" "&amp;Source!O125&amp;" "&amp;Source!P125)," ","/")</f>
        <v/>
      </c>
      <c r="G125" s="7" t="str">
        <f>IF(Source!Q125="","",Source!Q125)</f>
        <v/>
      </c>
      <c r="H125" s="7" t="str">
        <f>IF(Source!R125="","",Source!R125)</f>
        <v/>
      </c>
      <c r="I125" s="7" t="str">
        <f>IF(Source!S125&lt;&gt;"",Source!S125,IF(Source!C125&lt;&gt;"",Source!C125,""))</f>
        <v/>
      </c>
      <c r="J125" s="7" t="str">
        <f>TRIM(Source!T125&amp;" "&amp;Source!U125&amp;" "&amp;IF(Source!V125="","",Source!V125&amp;"s")&amp;" "&amp;IF(Source!W125="","",Source!W125&amp;"M"))</f>
        <v/>
      </c>
      <c r="K125" s="7" t="str">
        <f>IF(Source!X125="","",Source!X125)</f>
        <v/>
      </c>
      <c r="L125" s="7" t="str">
        <f>IF(Source!Y125="","",Source!Y125)</f>
        <v/>
      </c>
      <c r="M125" s="7" t="str">
        <f>IF(Source!Z125="","",Source!Z125)</f>
        <v/>
      </c>
      <c r="N125" s="7" t="str">
        <f>IF(Source!AA125="","",Source!AA125)</f>
        <v/>
      </c>
      <c r="O125" s="7" t="str">
        <f>IF(Source!AB125="","",Source!AB125)</f>
        <v/>
      </c>
      <c r="P125" s="7" t="str">
        <f>IF(Source!AC125="","",Source!AC125)</f>
        <v/>
      </c>
      <c r="Q125" s="7" t="str">
        <f>IF(Source!AD125="","",TEXT(Source!AD125,"000000000"))</f>
        <v/>
      </c>
      <c r="R125" s="7" t="str">
        <f>IF(Source!AE125="","","physical AIS type "&amp;Source!AE125)</f>
        <v/>
      </c>
      <c r="S125" s="7" t="str">
        <f>IF(Source!AF125="","",IF(LEN(Source!AF125)=1,UPPER(Source!AF125),"yes"))</f>
        <v/>
      </c>
      <c r="T125" s="7" t="str">
        <f>IF(Source!AG125="","",Source!AG125)</f>
        <v/>
      </c>
      <c r="U125" s="7" t="str">
        <f>IF(Source!AH125="","",YEAR(Source!AH125)&amp;"-"&amp;TEXT(MONTH(Source!AH125),"00")&amp;"-"&amp;TEXT(DAY(Source!AH125),"00"))</f>
        <v/>
      </c>
      <c r="V125" s="7" t="str">
        <f>IF(Source!AI125="","",IF(OR(UPPER(Source!AI125)="YES",UPPER(Source!AI125)="Y"),"visually conspicuous",IF(OR(UPPER(Source!AI125)="NO",UPPER(Source!AI125)="N"),"not visually conspicuous",Source!AI125)))</f>
        <v/>
      </c>
      <c r="W125" s="7" t="str">
        <f>IF(Source!AJ125="","",Source!AJ125)</f>
        <v/>
      </c>
    </row>
    <row r="126">
      <c r="A126" s="7" t="str">
        <f>IF(Source!A126="","",Source!A126&amp;"")</f>
        <v/>
      </c>
      <c r="B126" s="7" t="str">
        <f>TRIM(Source!C126&amp;" "&amp;Source!B126&amp;" "&amp;Source!D126)</f>
        <v/>
      </c>
      <c r="C126" s="7" t="str">
        <f>IF(Source!E126="","",Source!E126)</f>
        <v/>
      </c>
      <c r="D126" s="7" t="str">
        <f>IF(Source!F126="","",ROUND(IF(UPPER(Source!I126)="S",-1,1)*(N(Source!F126)+N(Source!G126)/60+N(Source!H126)/3600),7))</f>
        <v/>
      </c>
      <c r="E126" s="7" t="str">
        <f>IF(Source!J126="","",ROUND(IF(UPPER(Source!M126)="W",-1,1)*(N(Source!J126)+N(Source!K126)/60+N(Source!L126)/3600),7))</f>
        <v/>
      </c>
      <c r="F126" s="7" t="str">
        <f>SUBSTITUTE(TRIM(Source!N126&amp;" "&amp;Source!O126&amp;" "&amp;Source!P126)," ","/")</f>
        <v/>
      </c>
      <c r="G126" s="7" t="str">
        <f>IF(Source!Q126="","",Source!Q126)</f>
        <v/>
      </c>
      <c r="H126" s="7" t="str">
        <f>IF(Source!R126="","",Source!R126)</f>
        <v/>
      </c>
      <c r="I126" s="7" t="str">
        <f>IF(Source!S126&lt;&gt;"",Source!S126,IF(Source!C126&lt;&gt;"",Source!C126,""))</f>
        <v/>
      </c>
      <c r="J126" s="7" t="str">
        <f>TRIM(Source!T126&amp;" "&amp;Source!U126&amp;" "&amp;IF(Source!V126="","",Source!V126&amp;"s")&amp;" "&amp;IF(Source!W126="","",Source!W126&amp;"M"))</f>
        <v/>
      </c>
      <c r="K126" s="7" t="str">
        <f>IF(Source!X126="","",Source!X126)</f>
        <v/>
      </c>
      <c r="L126" s="7" t="str">
        <f>IF(Source!Y126="","",Source!Y126)</f>
        <v/>
      </c>
      <c r="M126" s="7" t="str">
        <f>IF(Source!Z126="","",Source!Z126)</f>
        <v/>
      </c>
      <c r="N126" s="7" t="str">
        <f>IF(Source!AA126="","",Source!AA126)</f>
        <v/>
      </c>
      <c r="O126" s="7" t="str">
        <f>IF(Source!AB126="","",Source!AB126)</f>
        <v/>
      </c>
      <c r="P126" s="7" t="str">
        <f>IF(Source!AC126="","",Source!AC126)</f>
        <v/>
      </c>
      <c r="Q126" s="7" t="str">
        <f>IF(Source!AD126="","",TEXT(Source!AD126,"000000000"))</f>
        <v/>
      </c>
      <c r="R126" s="7" t="str">
        <f>IF(Source!AE126="","","physical AIS type "&amp;Source!AE126)</f>
        <v/>
      </c>
      <c r="S126" s="7" t="str">
        <f>IF(Source!AF126="","",IF(LEN(Source!AF126)=1,UPPER(Source!AF126),"yes"))</f>
        <v/>
      </c>
      <c r="T126" s="7" t="str">
        <f>IF(Source!AG126="","",Source!AG126)</f>
        <v/>
      </c>
      <c r="U126" s="7" t="str">
        <f>IF(Source!AH126="","",YEAR(Source!AH126)&amp;"-"&amp;TEXT(MONTH(Source!AH126),"00")&amp;"-"&amp;TEXT(DAY(Source!AH126),"00"))</f>
        <v/>
      </c>
      <c r="V126" s="7" t="str">
        <f>IF(Source!AI126="","",IF(OR(UPPER(Source!AI126)="YES",UPPER(Source!AI126)="Y"),"visually conspicuous",IF(OR(UPPER(Source!AI126)="NO",UPPER(Source!AI126)="N"),"not visually conspicuous",Source!AI126)))</f>
        <v/>
      </c>
      <c r="W126" s="7" t="str">
        <f>IF(Source!AJ126="","",Source!AJ126)</f>
        <v/>
      </c>
    </row>
    <row r="127">
      <c r="A127" s="7" t="str">
        <f>IF(Source!A127="","",Source!A127&amp;"")</f>
        <v/>
      </c>
      <c r="B127" s="7" t="str">
        <f>TRIM(Source!C127&amp;" "&amp;Source!B127&amp;" "&amp;Source!D127)</f>
        <v/>
      </c>
      <c r="C127" s="7" t="str">
        <f>IF(Source!E127="","",Source!E127)</f>
        <v/>
      </c>
      <c r="D127" s="7" t="str">
        <f>IF(Source!F127="","",ROUND(IF(UPPER(Source!I127)="S",-1,1)*(N(Source!F127)+N(Source!G127)/60+N(Source!H127)/3600),7))</f>
        <v/>
      </c>
      <c r="E127" s="7" t="str">
        <f>IF(Source!J127="","",ROUND(IF(UPPER(Source!M127)="W",-1,1)*(N(Source!J127)+N(Source!K127)/60+N(Source!L127)/3600),7))</f>
        <v/>
      </c>
      <c r="F127" s="7" t="str">
        <f>SUBSTITUTE(TRIM(Source!N127&amp;" "&amp;Source!O127&amp;" "&amp;Source!P127)," ","/")</f>
        <v/>
      </c>
      <c r="G127" s="7" t="str">
        <f>IF(Source!Q127="","",Source!Q127)</f>
        <v/>
      </c>
      <c r="H127" s="7" t="str">
        <f>IF(Source!R127="","",Source!R127)</f>
        <v/>
      </c>
      <c r="I127" s="7" t="str">
        <f>IF(Source!S127&lt;&gt;"",Source!S127,IF(Source!C127&lt;&gt;"",Source!C127,""))</f>
        <v/>
      </c>
      <c r="J127" s="7" t="str">
        <f>TRIM(Source!T127&amp;" "&amp;Source!U127&amp;" "&amp;IF(Source!V127="","",Source!V127&amp;"s")&amp;" "&amp;IF(Source!W127="","",Source!W127&amp;"M"))</f>
        <v/>
      </c>
      <c r="K127" s="7" t="str">
        <f>IF(Source!X127="","",Source!X127)</f>
        <v/>
      </c>
      <c r="L127" s="7" t="str">
        <f>IF(Source!Y127="","",Source!Y127)</f>
        <v/>
      </c>
      <c r="M127" s="7" t="str">
        <f>IF(Source!Z127="","",Source!Z127)</f>
        <v/>
      </c>
      <c r="N127" s="7" t="str">
        <f>IF(Source!AA127="","",Source!AA127)</f>
        <v/>
      </c>
      <c r="O127" s="7" t="str">
        <f>IF(Source!AB127="","",Source!AB127)</f>
        <v/>
      </c>
      <c r="P127" s="7" t="str">
        <f>IF(Source!AC127="","",Source!AC127)</f>
        <v/>
      </c>
      <c r="Q127" s="7" t="str">
        <f>IF(Source!AD127="","",TEXT(Source!AD127,"000000000"))</f>
        <v/>
      </c>
      <c r="R127" s="7" t="str">
        <f>IF(Source!AE127="","","physical AIS type "&amp;Source!AE127)</f>
        <v/>
      </c>
      <c r="S127" s="7" t="str">
        <f>IF(Source!AF127="","",IF(LEN(Source!AF127)=1,UPPER(Source!AF127),"yes"))</f>
        <v/>
      </c>
      <c r="T127" s="7" t="str">
        <f>IF(Source!AG127="","",Source!AG127)</f>
        <v/>
      </c>
      <c r="U127" s="7" t="str">
        <f>IF(Source!AH127="","",YEAR(Source!AH127)&amp;"-"&amp;TEXT(MONTH(Source!AH127),"00")&amp;"-"&amp;TEXT(DAY(Source!AH127),"00"))</f>
        <v/>
      </c>
      <c r="V127" s="7" t="str">
        <f>IF(Source!AI127="","",IF(OR(UPPER(Source!AI127)="YES",UPPER(Source!AI127)="Y"),"visually conspicuous",IF(OR(UPPER(Source!AI127)="NO",UPPER(Source!AI127)="N"),"not visually conspicuous",Source!AI127)))</f>
        <v/>
      </c>
      <c r="W127" s="7" t="str">
        <f>IF(Source!AJ127="","",Source!AJ127)</f>
        <v/>
      </c>
    </row>
    <row r="128">
      <c r="A128" s="7" t="str">
        <f>IF(Source!A128="","",Source!A128&amp;"")</f>
        <v/>
      </c>
      <c r="B128" s="7" t="str">
        <f>TRIM(Source!C128&amp;" "&amp;Source!B128&amp;" "&amp;Source!D128)</f>
        <v/>
      </c>
      <c r="C128" s="7" t="str">
        <f>IF(Source!E128="","",Source!E128)</f>
        <v/>
      </c>
      <c r="D128" s="7" t="str">
        <f>IF(Source!F128="","",ROUND(IF(UPPER(Source!I128)="S",-1,1)*(N(Source!F128)+N(Source!G128)/60+N(Source!H128)/3600),7))</f>
        <v/>
      </c>
      <c r="E128" s="7" t="str">
        <f>IF(Source!J128="","",ROUND(IF(UPPER(Source!M128)="W",-1,1)*(N(Source!J128)+N(Source!K128)/60+N(Source!L128)/3600),7))</f>
        <v/>
      </c>
      <c r="F128" s="7" t="str">
        <f>SUBSTITUTE(TRIM(Source!N128&amp;" "&amp;Source!O128&amp;" "&amp;Source!P128)," ","/")</f>
        <v/>
      </c>
      <c r="G128" s="7" t="str">
        <f>IF(Source!Q128="","",Source!Q128)</f>
        <v/>
      </c>
      <c r="H128" s="7" t="str">
        <f>IF(Source!R128="","",Source!R128)</f>
        <v/>
      </c>
      <c r="I128" s="7" t="str">
        <f>IF(Source!S128&lt;&gt;"",Source!S128,IF(Source!C128&lt;&gt;"",Source!C128,""))</f>
        <v/>
      </c>
      <c r="J128" s="7" t="str">
        <f>TRIM(Source!T128&amp;" "&amp;Source!U128&amp;" "&amp;IF(Source!V128="","",Source!V128&amp;"s")&amp;" "&amp;IF(Source!W128="","",Source!W128&amp;"M"))</f>
        <v/>
      </c>
      <c r="K128" s="7" t="str">
        <f>IF(Source!X128="","",Source!X128)</f>
        <v/>
      </c>
      <c r="L128" s="7" t="str">
        <f>IF(Source!Y128="","",Source!Y128)</f>
        <v/>
      </c>
      <c r="M128" s="7" t="str">
        <f>IF(Source!Z128="","",Source!Z128)</f>
        <v/>
      </c>
      <c r="N128" s="7" t="str">
        <f>IF(Source!AA128="","",Source!AA128)</f>
        <v/>
      </c>
      <c r="O128" s="7" t="str">
        <f>IF(Source!AB128="","",Source!AB128)</f>
        <v/>
      </c>
      <c r="P128" s="7" t="str">
        <f>IF(Source!AC128="","",Source!AC128)</f>
        <v/>
      </c>
      <c r="Q128" s="7" t="str">
        <f>IF(Source!AD128="","",TEXT(Source!AD128,"000000000"))</f>
        <v/>
      </c>
      <c r="R128" s="7" t="str">
        <f>IF(Source!AE128="","","physical AIS type "&amp;Source!AE128)</f>
        <v/>
      </c>
      <c r="S128" s="7" t="str">
        <f>IF(Source!AF128="","",IF(LEN(Source!AF128)=1,UPPER(Source!AF128),"yes"))</f>
        <v/>
      </c>
      <c r="T128" s="7" t="str">
        <f>IF(Source!AG128="","",Source!AG128)</f>
        <v/>
      </c>
      <c r="U128" s="7" t="str">
        <f>IF(Source!AH128="","",YEAR(Source!AH128)&amp;"-"&amp;TEXT(MONTH(Source!AH128),"00")&amp;"-"&amp;TEXT(DAY(Source!AH128),"00"))</f>
        <v/>
      </c>
      <c r="V128" s="7" t="str">
        <f>IF(Source!AI128="","",IF(OR(UPPER(Source!AI128)="YES",UPPER(Source!AI128)="Y"),"visually conspicuous",IF(OR(UPPER(Source!AI128)="NO",UPPER(Source!AI128)="N"),"not visually conspicuous",Source!AI128)))</f>
        <v/>
      </c>
      <c r="W128" s="7" t="str">
        <f>IF(Source!AJ128="","",Source!AJ128)</f>
        <v/>
      </c>
    </row>
    <row r="129">
      <c r="A129" s="7" t="str">
        <f>IF(Source!A129="","",Source!A129&amp;"")</f>
        <v/>
      </c>
      <c r="B129" s="7" t="str">
        <f>TRIM(Source!C129&amp;" "&amp;Source!B129&amp;" "&amp;Source!D129)</f>
        <v/>
      </c>
      <c r="C129" s="7" t="str">
        <f>IF(Source!E129="","",Source!E129)</f>
        <v/>
      </c>
      <c r="D129" s="7" t="str">
        <f>IF(Source!F129="","",ROUND(IF(UPPER(Source!I129)="S",-1,1)*(N(Source!F129)+N(Source!G129)/60+N(Source!H129)/3600),7))</f>
        <v/>
      </c>
      <c r="E129" s="7" t="str">
        <f>IF(Source!J129="","",ROUND(IF(UPPER(Source!M129)="W",-1,1)*(N(Source!J129)+N(Source!K129)/60+N(Source!L129)/3600),7))</f>
        <v/>
      </c>
      <c r="F129" s="7" t="str">
        <f>SUBSTITUTE(TRIM(Source!N129&amp;" "&amp;Source!O129&amp;" "&amp;Source!P129)," ","/")</f>
        <v/>
      </c>
      <c r="G129" s="7" t="str">
        <f>IF(Source!Q129="","",Source!Q129)</f>
        <v/>
      </c>
      <c r="H129" s="7" t="str">
        <f>IF(Source!R129="","",Source!R129)</f>
        <v/>
      </c>
      <c r="I129" s="7" t="str">
        <f>IF(Source!S129&lt;&gt;"",Source!S129,IF(Source!C129&lt;&gt;"",Source!C129,""))</f>
        <v/>
      </c>
      <c r="J129" s="7" t="str">
        <f>TRIM(Source!T129&amp;" "&amp;Source!U129&amp;" "&amp;IF(Source!V129="","",Source!V129&amp;"s")&amp;" "&amp;IF(Source!W129="","",Source!W129&amp;"M"))</f>
        <v/>
      </c>
      <c r="K129" s="7" t="str">
        <f>IF(Source!X129="","",Source!X129)</f>
        <v/>
      </c>
      <c r="L129" s="7" t="str">
        <f>IF(Source!Y129="","",Source!Y129)</f>
        <v/>
      </c>
      <c r="M129" s="7" t="str">
        <f>IF(Source!Z129="","",Source!Z129)</f>
        <v/>
      </c>
      <c r="N129" s="7" t="str">
        <f>IF(Source!AA129="","",Source!AA129)</f>
        <v/>
      </c>
      <c r="O129" s="7" t="str">
        <f>IF(Source!AB129="","",Source!AB129)</f>
        <v/>
      </c>
      <c r="P129" s="7" t="str">
        <f>IF(Source!AC129="","",Source!AC129)</f>
        <v/>
      </c>
      <c r="Q129" s="7" t="str">
        <f>IF(Source!AD129="","",TEXT(Source!AD129,"000000000"))</f>
        <v/>
      </c>
      <c r="R129" s="7" t="str">
        <f>IF(Source!AE129="","","physical AIS type "&amp;Source!AE129)</f>
        <v/>
      </c>
      <c r="S129" s="7" t="str">
        <f>IF(Source!AF129="","",IF(LEN(Source!AF129)=1,UPPER(Source!AF129),"yes"))</f>
        <v/>
      </c>
      <c r="T129" s="7" t="str">
        <f>IF(Source!AG129="","",Source!AG129)</f>
        <v/>
      </c>
      <c r="U129" s="7" t="str">
        <f>IF(Source!AH129="","",YEAR(Source!AH129)&amp;"-"&amp;TEXT(MONTH(Source!AH129),"00")&amp;"-"&amp;TEXT(DAY(Source!AH129),"00"))</f>
        <v/>
      </c>
      <c r="V129" s="7" t="str">
        <f>IF(Source!AI129="","",IF(OR(UPPER(Source!AI129)="YES",UPPER(Source!AI129)="Y"),"visually conspicuous",IF(OR(UPPER(Source!AI129)="NO",UPPER(Source!AI129)="N"),"not visually conspicuous",Source!AI129)))</f>
        <v/>
      </c>
      <c r="W129" s="7" t="str">
        <f>IF(Source!AJ129="","",Source!AJ129)</f>
        <v/>
      </c>
    </row>
    <row r="130">
      <c r="A130" s="7" t="str">
        <f>IF(Source!A130="","",Source!A130&amp;"")</f>
        <v/>
      </c>
      <c r="B130" s="7" t="str">
        <f>TRIM(Source!C130&amp;" "&amp;Source!B130&amp;" "&amp;Source!D130)</f>
        <v/>
      </c>
      <c r="C130" s="7" t="str">
        <f>IF(Source!E130="","",Source!E130)</f>
        <v/>
      </c>
      <c r="D130" s="7" t="str">
        <f>IF(Source!F130="","",ROUND(IF(UPPER(Source!I130)="S",-1,1)*(N(Source!F130)+N(Source!G130)/60+N(Source!H130)/3600),7))</f>
        <v/>
      </c>
      <c r="E130" s="7" t="str">
        <f>IF(Source!J130="","",ROUND(IF(UPPER(Source!M130)="W",-1,1)*(N(Source!J130)+N(Source!K130)/60+N(Source!L130)/3600),7))</f>
        <v/>
      </c>
      <c r="F130" s="7" t="str">
        <f>SUBSTITUTE(TRIM(Source!N130&amp;" "&amp;Source!O130&amp;" "&amp;Source!P130)," ","/")</f>
        <v/>
      </c>
      <c r="G130" s="7" t="str">
        <f>IF(Source!Q130="","",Source!Q130)</f>
        <v/>
      </c>
      <c r="H130" s="7" t="str">
        <f>IF(Source!R130="","",Source!R130)</f>
        <v/>
      </c>
      <c r="I130" s="7" t="str">
        <f>IF(Source!S130&lt;&gt;"",Source!S130,IF(Source!C130&lt;&gt;"",Source!C130,""))</f>
        <v/>
      </c>
      <c r="J130" s="7" t="str">
        <f>TRIM(Source!T130&amp;" "&amp;Source!U130&amp;" "&amp;IF(Source!V130="","",Source!V130&amp;"s")&amp;" "&amp;IF(Source!W130="","",Source!W130&amp;"M"))</f>
        <v/>
      </c>
      <c r="K130" s="7" t="str">
        <f>IF(Source!X130="","",Source!X130)</f>
        <v/>
      </c>
      <c r="L130" s="7" t="str">
        <f>IF(Source!Y130="","",Source!Y130)</f>
        <v/>
      </c>
      <c r="M130" s="7" t="str">
        <f>IF(Source!Z130="","",Source!Z130)</f>
        <v/>
      </c>
      <c r="N130" s="7" t="str">
        <f>IF(Source!AA130="","",Source!AA130)</f>
        <v/>
      </c>
      <c r="O130" s="7" t="str">
        <f>IF(Source!AB130="","",Source!AB130)</f>
        <v/>
      </c>
      <c r="P130" s="7" t="str">
        <f>IF(Source!AC130="","",Source!AC130)</f>
        <v/>
      </c>
      <c r="Q130" s="7" t="str">
        <f>IF(Source!AD130="","",TEXT(Source!AD130,"000000000"))</f>
        <v/>
      </c>
      <c r="R130" s="7" t="str">
        <f>IF(Source!AE130="","","physical AIS type "&amp;Source!AE130)</f>
        <v/>
      </c>
      <c r="S130" s="7" t="str">
        <f>IF(Source!AF130="","",IF(LEN(Source!AF130)=1,UPPER(Source!AF130),"yes"))</f>
        <v/>
      </c>
      <c r="T130" s="7" t="str">
        <f>IF(Source!AG130="","",Source!AG130)</f>
        <v/>
      </c>
      <c r="U130" s="7" t="str">
        <f>IF(Source!AH130="","",YEAR(Source!AH130)&amp;"-"&amp;TEXT(MONTH(Source!AH130),"00")&amp;"-"&amp;TEXT(DAY(Source!AH130),"00"))</f>
        <v/>
      </c>
      <c r="V130" s="7" t="str">
        <f>IF(Source!AI130="","",IF(OR(UPPER(Source!AI130)="YES",UPPER(Source!AI130)="Y"),"visually conspicuous",IF(OR(UPPER(Source!AI130)="NO",UPPER(Source!AI130)="N"),"not visually conspicuous",Source!AI130)))</f>
        <v/>
      </c>
      <c r="W130" s="7" t="str">
        <f>IF(Source!AJ130="","",Source!AJ130)</f>
        <v/>
      </c>
    </row>
    <row r="131">
      <c r="A131" s="7" t="str">
        <f>IF(Source!A131="","",Source!A131&amp;"")</f>
        <v/>
      </c>
      <c r="B131" s="7" t="str">
        <f>TRIM(Source!C131&amp;" "&amp;Source!B131&amp;" "&amp;Source!D131)</f>
        <v/>
      </c>
      <c r="C131" s="7" t="str">
        <f>IF(Source!E131="","",Source!E131)</f>
        <v/>
      </c>
      <c r="D131" s="7" t="str">
        <f>IF(Source!F131="","",ROUND(IF(UPPER(Source!I131)="S",-1,1)*(N(Source!F131)+N(Source!G131)/60+N(Source!H131)/3600),7))</f>
        <v/>
      </c>
      <c r="E131" s="7" t="str">
        <f>IF(Source!J131="","",ROUND(IF(UPPER(Source!M131)="W",-1,1)*(N(Source!J131)+N(Source!K131)/60+N(Source!L131)/3600),7))</f>
        <v/>
      </c>
      <c r="F131" s="7" t="str">
        <f>SUBSTITUTE(TRIM(Source!N131&amp;" "&amp;Source!O131&amp;" "&amp;Source!P131)," ","/")</f>
        <v/>
      </c>
      <c r="G131" s="7" t="str">
        <f>IF(Source!Q131="","",Source!Q131)</f>
        <v/>
      </c>
      <c r="H131" s="7" t="str">
        <f>IF(Source!R131="","",Source!R131)</f>
        <v/>
      </c>
      <c r="I131" s="7" t="str">
        <f>IF(Source!S131&lt;&gt;"",Source!S131,IF(Source!C131&lt;&gt;"",Source!C131,""))</f>
        <v/>
      </c>
      <c r="J131" s="7" t="str">
        <f>TRIM(Source!T131&amp;" "&amp;Source!U131&amp;" "&amp;IF(Source!V131="","",Source!V131&amp;"s")&amp;" "&amp;IF(Source!W131="","",Source!W131&amp;"M"))</f>
        <v/>
      </c>
      <c r="K131" s="7" t="str">
        <f>IF(Source!X131="","",Source!X131)</f>
        <v/>
      </c>
      <c r="L131" s="7" t="str">
        <f>IF(Source!Y131="","",Source!Y131)</f>
        <v/>
      </c>
      <c r="M131" s="7" t="str">
        <f>IF(Source!Z131="","",Source!Z131)</f>
        <v/>
      </c>
      <c r="N131" s="7" t="str">
        <f>IF(Source!AA131="","",Source!AA131)</f>
        <v/>
      </c>
      <c r="O131" s="7" t="str">
        <f>IF(Source!AB131="","",Source!AB131)</f>
        <v/>
      </c>
      <c r="P131" s="7" t="str">
        <f>IF(Source!AC131="","",Source!AC131)</f>
        <v/>
      </c>
      <c r="Q131" s="7" t="str">
        <f>IF(Source!AD131="","",TEXT(Source!AD131,"000000000"))</f>
        <v/>
      </c>
      <c r="R131" s="7" t="str">
        <f>IF(Source!AE131="","","physical AIS type "&amp;Source!AE131)</f>
        <v/>
      </c>
      <c r="S131" s="7" t="str">
        <f>IF(Source!AF131="","",IF(LEN(Source!AF131)=1,UPPER(Source!AF131),"yes"))</f>
        <v/>
      </c>
      <c r="T131" s="7" t="str">
        <f>IF(Source!AG131="","",Source!AG131)</f>
        <v/>
      </c>
      <c r="U131" s="7" t="str">
        <f>IF(Source!AH131="","",YEAR(Source!AH131)&amp;"-"&amp;TEXT(MONTH(Source!AH131),"00")&amp;"-"&amp;TEXT(DAY(Source!AH131),"00"))</f>
        <v/>
      </c>
      <c r="V131" s="7" t="str">
        <f>IF(Source!AI131="","",IF(OR(UPPER(Source!AI131)="YES",UPPER(Source!AI131)="Y"),"visually conspicuous",IF(OR(UPPER(Source!AI131)="NO",UPPER(Source!AI131)="N"),"not visually conspicuous",Source!AI131)))</f>
        <v/>
      </c>
      <c r="W131" s="7" t="str">
        <f>IF(Source!AJ131="","",Source!AJ131)</f>
        <v/>
      </c>
    </row>
    <row r="132">
      <c r="A132" s="7" t="str">
        <f>IF(Source!A132="","",Source!A132&amp;"")</f>
        <v/>
      </c>
      <c r="B132" s="7" t="str">
        <f>TRIM(Source!C132&amp;" "&amp;Source!B132&amp;" "&amp;Source!D132)</f>
        <v/>
      </c>
      <c r="C132" s="7" t="str">
        <f>IF(Source!E132="","",Source!E132)</f>
        <v/>
      </c>
      <c r="D132" s="7" t="str">
        <f>IF(Source!F132="","",ROUND(IF(UPPER(Source!I132)="S",-1,1)*(N(Source!F132)+N(Source!G132)/60+N(Source!H132)/3600),7))</f>
        <v/>
      </c>
      <c r="E132" s="7" t="str">
        <f>IF(Source!J132="","",ROUND(IF(UPPER(Source!M132)="W",-1,1)*(N(Source!J132)+N(Source!K132)/60+N(Source!L132)/3600),7))</f>
        <v/>
      </c>
      <c r="F132" s="7" t="str">
        <f>SUBSTITUTE(TRIM(Source!N132&amp;" "&amp;Source!O132&amp;" "&amp;Source!P132)," ","/")</f>
        <v/>
      </c>
      <c r="G132" s="7" t="str">
        <f>IF(Source!Q132="","",Source!Q132)</f>
        <v/>
      </c>
      <c r="H132" s="7" t="str">
        <f>IF(Source!R132="","",Source!R132)</f>
        <v/>
      </c>
      <c r="I132" s="7" t="str">
        <f>IF(Source!S132&lt;&gt;"",Source!S132,IF(Source!C132&lt;&gt;"",Source!C132,""))</f>
        <v/>
      </c>
      <c r="J132" s="7" t="str">
        <f>TRIM(Source!T132&amp;" "&amp;Source!U132&amp;" "&amp;IF(Source!V132="","",Source!V132&amp;"s")&amp;" "&amp;IF(Source!W132="","",Source!W132&amp;"M"))</f>
        <v/>
      </c>
      <c r="K132" s="7" t="str">
        <f>IF(Source!X132="","",Source!X132)</f>
        <v/>
      </c>
      <c r="L132" s="7" t="str">
        <f>IF(Source!Y132="","",Source!Y132)</f>
        <v/>
      </c>
      <c r="M132" s="7" t="str">
        <f>IF(Source!Z132="","",Source!Z132)</f>
        <v/>
      </c>
      <c r="N132" s="7" t="str">
        <f>IF(Source!AA132="","",Source!AA132)</f>
        <v/>
      </c>
      <c r="O132" s="7" t="str">
        <f>IF(Source!AB132="","",Source!AB132)</f>
        <v/>
      </c>
      <c r="P132" s="7" t="str">
        <f>IF(Source!AC132="","",Source!AC132)</f>
        <v/>
      </c>
      <c r="Q132" s="7" t="str">
        <f>IF(Source!AD132="","",TEXT(Source!AD132,"000000000"))</f>
        <v/>
      </c>
      <c r="R132" s="7" t="str">
        <f>IF(Source!AE132="","","physical AIS type "&amp;Source!AE132)</f>
        <v/>
      </c>
      <c r="S132" s="7" t="str">
        <f>IF(Source!AF132="","",IF(LEN(Source!AF132)=1,UPPER(Source!AF132),"yes"))</f>
        <v/>
      </c>
      <c r="T132" s="7" t="str">
        <f>IF(Source!AG132="","",Source!AG132)</f>
        <v/>
      </c>
      <c r="U132" s="7" t="str">
        <f>IF(Source!AH132="","",YEAR(Source!AH132)&amp;"-"&amp;TEXT(MONTH(Source!AH132),"00")&amp;"-"&amp;TEXT(DAY(Source!AH132),"00"))</f>
        <v/>
      </c>
      <c r="V132" s="7" t="str">
        <f>IF(Source!AI132="","",IF(OR(UPPER(Source!AI132)="YES",UPPER(Source!AI132)="Y"),"visually conspicuous",IF(OR(UPPER(Source!AI132)="NO",UPPER(Source!AI132)="N"),"not visually conspicuous",Source!AI132)))</f>
        <v/>
      </c>
      <c r="W132" s="7" t="str">
        <f>IF(Source!AJ132="","",Source!AJ132)</f>
        <v/>
      </c>
    </row>
    <row r="133">
      <c r="A133" s="7" t="str">
        <f>IF(Source!A133="","",Source!A133&amp;"")</f>
        <v/>
      </c>
      <c r="B133" s="7" t="str">
        <f>TRIM(Source!C133&amp;" "&amp;Source!B133&amp;" "&amp;Source!D133)</f>
        <v/>
      </c>
      <c r="C133" s="7" t="str">
        <f>IF(Source!E133="","",Source!E133)</f>
        <v/>
      </c>
      <c r="D133" s="7" t="str">
        <f>IF(Source!F133="","",ROUND(IF(UPPER(Source!I133)="S",-1,1)*(N(Source!F133)+N(Source!G133)/60+N(Source!H133)/3600),7))</f>
        <v/>
      </c>
      <c r="E133" s="7" t="str">
        <f>IF(Source!J133="","",ROUND(IF(UPPER(Source!M133)="W",-1,1)*(N(Source!J133)+N(Source!K133)/60+N(Source!L133)/3600),7))</f>
        <v/>
      </c>
      <c r="F133" s="7" t="str">
        <f>SUBSTITUTE(TRIM(Source!N133&amp;" "&amp;Source!O133&amp;" "&amp;Source!P133)," ","/")</f>
        <v/>
      </c>
      <c r="G133" s="7" t="str">
        <f>IF(Source!Q133="","",Source!Q133)</f>
        <v/>
      </c>
      <c r="H133" s="7" t="str">
        <f>IF(Source!R133="","",Source!R133)</f>
        <v/>
      </c>
      <c r="I133" s="7" t="str">
        <f>IF(Source!S133&lt;&gt;"",Source!S133,IF(Source!C133&lt;&gt;"",Source!C133,""))</f>
        <v/>
      </c>
      <c r="J133" s="7" t="str">
        <f>TRIM(Source!T133&amp;" "&amp;Source!U133&amp;" "&amp;IF(Source!V133="","",Source!V133&amp;"s")&amp;" "&amp;IF(Source!W133="","",Source!W133&amp;"M"))</f>
        <v/>
      </c>
      <c r="K133" s="7" t="str">
        <f>IF(Source!X133="","",Source!X133)</f>
        <v/>
      </c>
      <c r="L133" s="7" t="str">
        <f>IF(Source!Y133="","",Source!Y133)</f>
        <v/>
      </c>
      <c r="M133" s="7" t="str">
        <f>IF(Source!Z133="","",Source!Z133)</f>
        <v/>
      </c>
      <c r="N133" s="7" t="str">
        <f>IF(Source!AA133="","",Source!AA133)</f>
        <v/>
      </c>
      <c r="O133" s="7" t="str">
        <f>IF(Source!AB133="","",Source!AB133)</f>
        <v/>
      </c>
      <c r="P133" s="7" t="str">
        <f>IF(Source!AC133="","",Source!AC133)</f>
        <v/>
      </c>
      <c r="Q133" s="7" t="str">
        <f>IF(Source!AD133="","",TEXT(Source!AD133,"000000000"))</f>
        <v/>
      </c>
      <c r="R133" s="7" t="str">
        <f>IF(Source!AE133="","","physical AIS type "&amp;Source!AE133)</f>
        <v/>
      </c>
      <c r="S133" s="7" t="str">
        <f>IF(Source!AF133="","",IF(LEN(Source!AF133)=1,UPPER(Source!AF133),"yes"))</f>
        <v/>
      </c>
      <c r="T133" s="7" t="str">
        <f>IF(Source!AG133="","",Source!AG133)</f>
        <v/>
      </c>
      <c r="U133" s="7" t="str">
        <f>IF(Source!AH133="","",YEAR(Source!AH133)&amp;"-"&amp;TEXT(MONTH(Source!AH133),"00")&amp;"-"&amp;TEXT(DAY(Source!AH133),"00"))</f>
        <v/>
      </c>
      <c r="V133" s="7" t="str">
        <f>IF(Source!AI133="","",IF(OR(UPPER(Source!AI133)="YES",UPPER(Source!AI133)="Y"),"visually conspicuous",IF(OR(UPPER(Source!AI133)="NO",UPPER(Source!AI133)="N"),"not visually conspicuous",Source!AI133)))</f>
        <v/>
      </c>
      <c r="W133" s="7" t="str">
        <f>IF(Source!AJ133="","",Source!AJ133)</f>
        <v/>
      </c>
    </row>
    <row r="134">
      <c r="A134" s="7" t="str">
        <f>IF(Source!A134="","",Source!A134&amp;"")</f>
        <v/>
      </c>
      <c r="B134" s="7" t="str">
        <f>TRIM(Source!C134&amp;" "&amp;Source!B134&amp;" "&amp;Source!D134)</f>
        <v/>
      </c>
      <c r="C134" s="7" t="str">
        <f>IF(Source!E134="","",Source!E134)</f>
        <v/>
      </c>
      <c r="D134" s="7" t="str">
        <f>IF(Source!F134="","",ROUND(IF(UPPER(Source!I134)="S",-1,1)*(N(Source!F134)+N(Source!G134)/60+N(Source!H134)/3600),7))</f>
        <v/>
      </c>
      <c r="E134" s="7" t="str">
        <f>IF(Source!J134="","",ROUND(IF(UPPER(Source!M134)="W",-1,1)*(N(Source!J134)+N(Source!K134)/60+N(Source!L134)/3600),7))</f>
        <v/>
      </c>
      <c r="F134" s="7" t="str">
        <f>SUBSTITUTE(TRIM(Source!N134&amp;" "&amp;Source!O134&amp;" "&amp;Source!P134)," ","/")</f>
        <v/>
      </c>
      <c r="G134" s="7" t="str">
        <f>IF(Source!Q134="","",Source!Q134)</f>
        <v/>
      </c>
      <c r="H134" s="7" t="str">
        <f>IF(Source!R134="","",Source!R134)</f>
        <v/>
      </c>
      <c r="I134" s="7" t="str">
        <f>IF(Source!S134&lt;&gt;"",Source!S134,IF(Source!C134&lt;&gt;"",Source!C134,""))</f>
        <v/>
      </c>
      <c r="J134" s="7" t="str">
        <f>TRIM(Source!T134&amp;" "&amp;Source!U134&amp;" "&amp;IF(Source!V134="","",Source!V134&amp;"s")&amp;" "&amp;IF(Source!W134="","",Source!W134&amp;"M"))</f>
        <v/>
      </c>
      <c r="K134" s="7" t="str">
        <f>IF(Source!X134="","",Source!X134)</f>
        <v/>
      </c>
      <c r="L134" s="7" t="str">
        <f>IF(Source!Y134="","",Source!Y134)</f>
        <v/>
      </c>
      <c r="M134" s="7" t="str">
        <f>IF(Source!Z134="","",Source!Z134)</f>
        <v/>
      </c>
      <c r="N134" s="7" t="str">
        <f>IF(Source!AA134="","",Source!AA134)</f>
        <v/>
      </c>
      <c r="O134" s="7" t="str">
        <f>IF(Source!AB134="","",Source!AB134)</f>
        <v/>
      </c>
      <c r="P134" s="7" t="str">
        <f>IF(Source!AC134="","",Source!AC134)</f>
        <v/>
      </c>
      <c r="Q134" s="7" t="str">
        <f>IF(Source!AD134="","",TEXT(Source!AD134,"000000000"))</f>
        <v/>
      </c>
      <c r="R134" s="7" t="str">
        <f>IF(Source!AE134="","","physical AIS type "&amp;Source!AE134)</f>
        <v/>
      </c>
      <c r="S134" s="7" t="str">
        <f>IF(Source!AF134="","",IF(LEN(Source!AF134)=1,UPPER(Source!AF134),"yes"))</f>
        <v/>
      </c>
      <c r="T134" s="7" t="str">
        <f>IF(Source!AG134="","",Source!AG134)</f>
        <v/>
      </c>
      <c r="U134" s="7" t="str">
        <f>IF(Source!AH134="","",YEAR(Source!AH134)&amp;"-"&amp;TEXT(MONTH(Source!AH134),"00")&amp;"-"&amp;TEXT(DAY(Source!AH134),"00"))</f>
        <v/>
      </c>
      <c r="V134" s="7" t="str">
        <f>IF(Source!AI134="","",IF(OR(UPPER(Source!AI134)="YES",UPPER(Source!AI134)="Y"),"visually conspicuous",IF(OR(UPPER(Source!AI134)="NO",UPPER(Source!AI134)="N"),"not visually conspicuous",Source!AI134)))</f>
        <v/>
      </c>
      <c r="W134" s="7" t="str">
        <f>IF(Source!AJ134="","",Source!AJ134)</f>
        <v/>
      </c>
    </row>
    <row r="135">
      <c r="A135" s="7" t="str">
        <f>IF(Source!A135="","",Source!A135&amp;"")</f>
        <v/>
      </c>
      <c r="B135" s="7" t="str">
        <f>TRIM(Source!C135&amp;" "&amp;Source!B135&amp;" "&amp;Source!D135)</f>
        <v/>
      </c>
      <c r="C135" s="7" t="str">
        <f>IF(Source!E135="","",Source!E135)</f>
        <v/>
      </c>
      <c r="D135" s="7" t="str">
        <f>IF(Source!F135="","",ROUND(IF(UPPER(Source!I135)="S",-1,1)*(N(Source!F135)+N(Source!G135)/60+N(Source!H135)/3600),7))</f>
        <v/>
      </c>
      <c r="E135" s="7" t="str">
        <f>IF(Source!J135="","",ROUND(IF(UPPER(Source!M135)="W",-1,1)*(N(Source!J135)+N(Source!K135)/60+N(Source!L135)/3600),7))</f>
        <v/>
      </c>
      <c r="F135" s="7" t="str">
        <f>SUBSTITUTE(TRIM(Source!N135&amp;" "&amp;Source!O135&amp;" "&amp;Source!P135)," ","/")</f>
        <v/>
      </c>
      <c r="G135" s="7" t="str">
        <f>IF(Source!Q135="","",Source!Q135)</f>
        <v/>
      </c>
      <c r="H135" s="7" t="str">
        <f>IF(Source!R135="","",Source!R135)</f>
        <v/>
      </c>
      <c r="I135" s="7" t="str">
        <f>IF(Source!S135&lt;&gt;"",Source!S135,IF(Source!C135&lt;&gt;"",Source!C135,""))</f>
        <v/>
      </c>
      <c r="J135" s="7" t="str">
        <f>TRIM(Source!T135&amp;" "&amp;Source!U135&amp;" "&amp;IF(Source!V135="","",Source!V135&amp;"s")&amp;" "&amp;IF(Source!W135="","",Source!W135&amp;"M"))</f>
        <v/>
      </c>
      <c r="K135" s="7" t="str">
        <f>IF(Source!X135="","",Source!X135)</f>
        <v/>
      </c>
      <c r="L135" s="7" t="str">
        <f>IF(Source!Y135="","",Source!Y135)</f>
        <v/>
      </c>
      <c r="M135" s="7" t="str">
        <f>IF(Source!Z135="","",Source!Z135)</f>
        <v/>
      </c>
      <c r="N135" s="7" t="str">
        <f>IF(Source!AA135="","",Source!AA135)</f>
        <v/>
      </c>
      <c r="O135" s="7" t="str">
        <f>IF(Source!AB135="","",Source!AB135)</f>
        <v/>
      </c>
      <c r="P135" s="7" t="str">
        <f>IF(Source!AC135="","",Source!AC135)</f>
        <v/>
      </c>
      <c r="Q135" s="7" t="str">
        <f>IF(Source!AD135="","",TEXT(Source!AD135,"000000000"))</f>
        <v/>
      </c>
      <c r="R135" s="7" t="str">
        <f>IF(Source!AE135="","","physical AIS type "&amp;Source!AE135)</f>
        <v/>
      </c>
      <c r="S135" s="7" t="str">
        <f>IF(Source!AF135="","",IF(LEN(Source!AF135)=1,UPPER(Source!AF135),"yes"))</f>
        <v/>
      </c>
      <c r="T135" s="7" t="str">
        <f>IF(Source!AG135="","",Source!AG135)</f>
        <v/>
      </c>
      <c r="U135" s="7" t="str">
        <f>IF(Source!AH135="","",YEAR(Source!AH135)&amp;"-"&amp;TEXT(MONTH(Source!AH135),"00")&amp;"-"&amp;TEXT(DAY(Source!AH135),"00"))</f>
        <v/>
      </c>
      <c r="V135" s="7" t="str">
        <f>IF(Source!AI135="","",IF(OR(UPPER(Source!AI135)="YES",UPPER(Source!AI135)="Y"),"visually conspicuous",IF(OR(UPPER(Source!AI135)="NO",UPPER(Source!AI135)="N"),"not visually conspicuous",Source!AI135)))</f>
        <v/>
      </c>
      <c r="W135" s="7" t="str">
        <f>IF(Source!AJ135="","",Source!AJ135)</f>
        <v/>
      </c>
    </row>
    <row r="136">
      <c r="A136" s="7" t="str">
        <f>IF(Source!A136="","",Source!A136&amp;"")</f>
        <v/>
      </c>
      <c r="B136" s="7" t="str">
        <f>TRIM(Source!C136&amp;" "&amp;Source!B136&amp;" "&amp;Source!D136)</f>
        <v/>
      </c>
      <c r="C136" s="7" t="str">
        <f>IF(Source!E136="","",Source!E136)</f>
        <v/>
      </c>
      <c r="D136" s="7" t="str">
        <f>IF(Source!F136="","",ROUND(IF(UPPER(Source!I136)="S",-1,1)*(N(Source!F136)+N(Source!G136)/60+N(Source!H136)/3600),7))</f>
        <v/>
      </c>
      <c r="E136" s="7" t="str">
        <f>IF(Source!J136="","",ROUND(IF(UPPER(Source!M136)="W",-1,1)*(N(Source!J136)+N(Source!K136)/60+N(Source!L136)/3600),7))</f>
        <v/>
      </c>
      <c r="F136" s="7" t="str">
        <f>SUBSTITUTE(TRIM(Source!N136&amp;" "&amp;Source!O136&amp;" "&amp;Source!P136)," ","/")</f>
        <v/>
      </c>
      <c r="G136" s="7" t="str">
        <f>IF(Source!Q136="","",Source!Q136)</f>
        <v/>
      </c>
      <c r="H136" s="7" t="str">
        <f>IF(Source!R136="","",Source!R136)</f>
        <v/>
      </c>
      <c r="I136" s="7" t="str">
        <f>IF(Source!S136&lt;&gt;"",Source!S136,IF(Source!C136&lt;&gt;"",Source!C136,""))</f>
        <v/>
      </c>
      <c r="J136" s="7" t="str">
        <f>TRIM(Source!T136&amp;" "&amp;Source!U136&amp;" "&amp;IF(Source!V136="","",Source!V136&amp;"s")&amp;" "&amp;IF(Source!W136="","",Source!W136&amp;"M"))</f>
        <v/>
      </c>
      <c r="K136" s="7" t="str">
        <f>IF(Source!X136="","",Source!X136)</f>
        <v/>
      </c>
      <c r="L136" s="7" t="str">
        <f>IF(Source!Y136="","",Source!Y136)</f>
        <v/>
      </c>
      <c r="M136" s="7" t="str">
        <f>IF(Source!Z136="","",Source!Z136)</f>
        <v/>
      </c>
      <c r="N136" s="7" t="str">
        <f>IF(Source!AA136="","",Source!AA136)</f>
        <v/>
      </c>
      <c r="O136" s="7" t="str">
        <f>IF(Source!AB136="","",Source!AB136)</f>
        <v/>
      </c>
      <c r="P136" s="7" t="str">
        <f>IF(Source!AC136="","",Source!AC136)</f>
        <v/>
      </c>
      <c r="Q136" s="7" t="str">
        <f>IF(Source!AD136="","",TEXT(Source!AD136,"000000000"))</f>
        <v/>
      </c>
      <c r="R136" s="7" t="str">
        <f>IF(Source!AE136="","","physical AIS type "&amp;Source!AE136)</f>
        <v/>
      </c>
      <c r="S136" s="7" t="str">
        <f>IF(Source!AF136="","",IF(LEN(Source!AF136)=1,UPPER(Source!AF136),"yes"))</f>
        <v/>
      </c>
      <c r="T136" s="7" t="str">
        <f>IF(Source!AG136="","",Source!AG136)</f>
        <v/>
      </c>
      <c r="U136" s="7" t="str">
        <f>IF(Source!AH136="","",YEAR(Source!AH136)&amp;"-"&amp;TEXT(MONTH(Source!AH136),"00")&amp;"-"&amp;TEXT(DAY(Source!AH136),"00"))</f>
        <v/>
      </c>
      <c r="V136" s="7" t="str">
        <f>IF(Source!AI136="","",IF(OR(UPPER(Source!AI136)="YES",UPPER(Source!AI136)="Y"),"visually conspicuous",IF(OR(UPPER(Source!AI136)="NO",UPPER(Source!AI136)="N"),"not visually conspicuous",Source!AI136)))</f>
        <v/>
      </c>
      <c r="W136" s="7" t="str">
        <f>IF(Source!AJ136="","",Source!AJ136)</f>
        <v/>
      </c>
    </row>
    <row r="137">
      <c r="A137" s="7" t="str">
        <f>IF(Source!A137="","",Source!A137&amp;"")</f>
        <v/>
      </c>
      <c r="B137" s="7" t="str">
        <f>TRIM(Source!C137&amp;" "&amp;Source!B137&amp;" "&amp;Source!D137)</f>
        <v/>
      </c>
      <c r="C137" s="7" t="str">
        <f>IF(Source!E137="","",Source!E137)</f>
        <v/>
      </c>
      <c r="D137" s="7" t="str">
        <f>IF(Source!F137="","",ROUND(IF(UPPER(Source!I137)="S",-1,1)*(N(Source!F137)+N(Source!G137)/60+N(Source!H137)/3600),7))</f>
        <v/>
      </c>
      <c r="E137" s="7" t="str">
        <f>IF(Source!J137="","",ROUND(IF(UPPER(Source!M137)="W",-1,1)*(N(Source!J137)+N(Source!K137)/60+N(Source!L137)/3600),7))</f>
        <v/>
      </c>
      <c r="F137" s="7" t="str">
        <f>SUBSTITUTE(TRIM(Source!N137&amp;" "&amp;Source!O137&amp;" "&amp;Source!P137)," ","/")</f>
        <v/>
      </c>
      <c r="G137" s="7" t="str">
        <f>IF(Source!Q137="","",Source!Q137)</f>
        <v/>
      </c>
      <c r="H137" s="7" t="str">
        <f>IF(Source!R137="","",Source!R137)</f>
        <v/>
      </c>
      <c r="I137" s="7" t="str">
        <f>IF(Source!S137&lt;&gt;"",Source!S137,IF(Source!C137&lt;&gt;"",Source!C137,""))</f>
        <v/>
      </c>
      <c r="J137" s="7" t="str">
        <f>TRIM(Source!T137&amp;" "&amp;Source!U137&amp;" "&amp;IF(Source!V137="","",Source!V137&amp;"s")&amp;" "&amp;IF(Source!W137="","",Source!W137&amp;"M"))</f>
        <v/>
      </c>
      <c r="K137" s="7" t="str">
        <f>IF(Source!X137="","",Source!X137)</f>
        <v/>
      </c>
      <c r="L137" s="7" t="str">
        <f>IF(Source!Y137="","",Source!Y137)</f>
        <v/>
      </c>
      <c r="M137" s="7" t="str">
        <f>IF(Source!Z137="","",Source!Z137)</f>
        <v/>
      </c>
      <c r="N137" s="7" t="str">
        <f>IF(Source!AA137="","",Source!AA137)</f>
        <v/>
      </c>
      <c r="O137" s="7" t="str">
        <f>IF(Source!AB137="","",Source!AB137)</f>
        <v/>
      </c>
      <c r="P137" s="7" t="str">
        <f>IF(Source!AC137="","",Source!AC137)</f>
        <v/>
      </c>
      <c r="Q137" s="7" t="str">
        <f>IF(Source!AD137="","",TEXT(Source!AD137,"000000000"))</f>
        <v/>
      </c>
      <c r="R137" s="7" t="str">
        <f>IF(Source!AE137="","","physical AIS type "&amp;Source!AE137)</f>
        <v/>
      </c>
      <c r="S137" s="7" t="str">
        <f>IF(Source!AF137="","",IF(LEN(Source!AF137)=1,UPPER(Source!AF137),"yes"))</f>
        <v/>
      </c>
      <c r="T137" s="7" t="str">
        <f>IF(Source!AG137="","",Source!AG137)</f>
        <v/>
      </c>
      <c r="U137" s="7" t="str">
        <f>IF(Source!AH137="","",YEAR(Source!AH137)&amp;"-"&amp;TEXT(MONTH(Source!AH137),"00")&amp;"-"&amp;TEXT(DAY(Source!AH137),"00"))</f>
        <v/>
      </c>
      <c r="V137" s="7" t="str">
        <f>IF(Source!AI137="","",IF(OR(UPPER(Source!AI137)="YES",UPPER(Source!AI137)="Y"),"visually conspicuous",IF(OR(UPPER(Source!AI137)="NO",UPPER(Source!AI137)="N"),"not visually conspicuous",Source!AI137)))</f>
        <v/>
      </c>
      <c r="W137" s="7" t="str">
        <f>IF(Source!AJ137="","",Source!AJ137)</f>
        <v/>
      </c>
    </row>
    <row r="138">
      <c r="A138" s="7" t="str">
        <f>IF(Source!A138="","",Source!A138&amp;"")</f>
        <v/>
      </c>
      <c r="B138" s="7" t="str">
        <f>TRIM(Source!C138&amp;" "&amp;Source!B138&amp;" "&amp;Source!D138)</f>
        <v/>
      </c>
      <c r="C138" s="7" t="str">
        <f>IF(Source!E138="","",Source!E138)</f>
        <v/>
      </c>
      <c r="D138" s="7" t="str">
        <f>IF(Source!F138="","",ROUND(IF(UPPER(Source!I138)="S",-1,1)*(N(Source!F138)+N(Source!G138)/60+N(Source!H138)/3600),7))</f>
        <v/>
      </c>
      <c r="E138" s="7" t="str">
        <f>IF(Source!J138="","",ROUND(IF(UPPER(Source!M138)="W",-1,1)*(N(Source!J138)+N(Source!K138)/60+N(Source!L138)/3600),7))</f>
        <v/>
      </c>
      <c r="F138" s="7" t="str">
        <f>SUBSTITUTE(TRIM(Source!N138&amp;" "&amp;Source!O138&amp;" "&amp;Source!P138)," ","/")</f>
        <v/>
      </c>
      <c r="G138" s="7" t="str">
        <f>IF(Source!Q138="","",Source!Q138)</f>
        <v/>
      </c>
      <c r="H138" s="7" t="str">
        <f>IF(Source!R138="","",Source!R138)</f>
        <v/>
      </c>
      <c r="I138" s="7" t="str">
        <f>IF(Source!S138&lt;&gt;"",Source!S138,IF(Source!C138&lt;&gt;"",Source!C138,""))</f>
        <v/>
      </c>
      <c r="J138" s="7" t="str">
        <f>TRIM(Source!T138&amp;" "&amp;Source!U138&amp;" "&amp;IF(Source!V138="","",Source!V138&amp;"s")&amp;" "&amp;IF(Source!W138="","",Source!W138&amp;"M"))</f>
        <v/>
      </c>
      <c r="K138" s="7" t="str">
        <f>IF(Source!X138="","",Source!X138)</f>
        <v/>
      </c>
      <c r="L138" s="7" t="str">
        <f>IF(Source!Y138="","",Source!Y138)</f>
        <v/>
      </c>
      <c r="M138" s="7" t="str">
        <f>IF(Source!Z138="","",Source!Z138)</f>
        <v/>
      </c>
      <c r="N138" s="7" t="str">
        <f>IF(Source!AA138="","",Source!AA138)</f>
        <v/>
      </c>
      <c r="O138" s="7" t="str">
        <f>IF(Source!AB138="","",Source!AB138)</f>
        <v/>
      </c>
      <c r="P138" s="7" t="str">
        <f>IF(Source!AC138="","",Source!AC138)</f>
        <v/>
      </c>
      <c r="Q138" s="7" t="str">
        <f>IF(Source!AD138="","",TEXT(Source!AD138,"000000000"))</f>
        <v/>
      </c>
      <c r="R138" s="7" t="str">
        <f>IF(Source!AE138="","","physical AIS type "&amp;Source!AE138)</f>
        <v/>
      </c>
      <c r="S138" s="7" t="str">
        <f>IF(Source!AF138="","",IF(LEN(Source!AF138)=1,UPPER(Source!AF138),"yes"))</f>
        <v/>
      </c>
      <c r="T138" s="7" t="str">
        <f>IF(Source!AG138="","",Source!AG138)</f>
        <v/>
      </c>
      <c r="U138" s="7" t="str">
        <f>IF(Source!AH138="","",YEAR(Source!AH138)&amp;"-"&amp;TEXT(MONTH(Source!AH138),"00")&amp;"-"&amp;TEXT(DAY(Source!AH138),"00"))</f>
        <v/>
      </c>
      <c r="V138" s="7" t="str">
        <f>IF(Source!AI138="","",IF(OR(UPPER(Source!AI138)="YES",UPPER(Source!AI138)="Y"),"visually conspicuous",IF(OR(UPPER(Source!AI138)="NO",UPPER(Source!AI138)="N"),"not visually conspicuous",Source!AI138)))</f>
        <v/>
      </c>
      <c r="W138" s="7" t="str">
        <f>IF(Source!AJ138="","",Source!AJ138)</f>
        <v/>
      </c>
    </row>
    <row r="139">
      <c r="A139" s="7" t="str">
        <f>IF(Source!A139="","",Source!A139&amp;"")</f>
        <v/>
      </c>
      <c r="B139" s="7" t="str">
        <f>TRIM(Source!C139&amp;" "&amp;Source!B139&amp;" "&amp;Source!D139)</f>
        <v/>
      </c>
      <c r="C139" s="7" t="str">
        <f>IF(Source!E139="","",Source!E139)</f>
        <v/>
      </c>
      <c r="D139" s="7" t="str">
        <f>IF(Source!F139="","",ROUND(IF(UPPER(Source!I139)="S",-1,1)*(N(Source!F139)+N(Source!G139)/60+N(Source!H139)/3600),7))</f>
        <v/>
      </c>
      <c r="E139" s="7" t="str">
        <f>IF(Source!J139="","",ROUND(IF(UPPER(Source!M139)="W",-1,1)*(N(Source!J139)+N(Source!K139)/60+N(Source!L139)/3600),7))</f>
        <v/>
      </c>
      <c r="F139" s="7" t="str">
        <f>SUBSTITUTE(TRIM(Source!N139&amp;" "&amp;Source!O139&amp;" "&amp;Source!P139)," ","/")</f>
        <v/>
      </c>
      <c r="G139" s="7" t="str">
        <f>IF(Source!Q139="","",Source!Q139)</f>
        <v/>
      </c>
      <c r="H139" s="7" t="str">
        <f>IF(Source!R139="","",Source!R139)</f>
        <v/>
      </c>
      <c r="I139" s="7" t="str">
        <f>IF(Source!S139&lt;&gt;"",Source!S139,IF(Source!C139&lt;&gt;"",Source!C139,""))</f>
        <v/>
      </c>
      <c r="J139" s="7" t="str">
        <f>TRIM(Source!T139&amp;" "&amp;Source!U139&amp;" "&amp;IF(Source!V139="","",Source!V139&amp;"s")&amp;" "&amp;IF(Source!W139="","",Source!W139&amp;"M"))</f>
        <v/>
      </c>
      <c r="K139" s="7" t="str">
        <f>IF(Source!X139="","",Source!X139)</f>
        <v/>
      </c>
      <c r="L139" s="7" t="str">
        <f>IF(Source!Y139="","",Source!Y139)</f>
        <v/>
      </c>
      <c r="M139" s="7" t="str">
        <f>IF(Source!Z139="","",Source!Z139)</f>
        <v/>
      </c>
      <c r="N139" s="7" t="str">
        <f>IF(Source!AA139="","",Source!AA139)</f>
        <v/>
      </c>
      <c r="O139" s="7" t="str">
        <f>IF(Source!AB139="","",Source!AB139)</f>
        <v/>
      </c>
      <c r="P139" s="7" t="str">
        <f>IF(Source!AC139="","",Source!AC139)</f>
        <v/>
      </c>
      <c r="Q139" s="7" t="str">
        <f>IF(Source!AD139="","",TEXT(Source!AD139,"000000000"))</f>
        <v/>
      </c>
      <c r="R139" s="7" t="str">
        <f>IF(Source!AE139="","","physical AIS type "&amp;Source!AE139)</f>
        <v/>
      </c>
      <c r="S139" s="7" t="str">
        <f>IF(Source!AF139="","",IF(LEN(Source!AF139)=1,UPPER(Source!AF139),"yes"))</f>
        <v/>
      </c>
      <c r="T139" s="7" t="str">
        <f>IF(Source!AG139="","",Source!AG139)</f>
        <v/>
      </c>
      <c r="U139" s="7" t="str">
        <f>IF(Source!AH139="","",YEAR(Source!AH139)&amp;"-"&amp;TEXT(MONTH(Source!AH139),"00")&amp;"-"&amp;TEXT(DAY(Source!AH139),"00"))</f>
        <v/>
      </c>
      <c r="V139" s="7" t="str">
        <f>IF(Source!AI139="","",IF(OR(UPPER(Source!AI139)="YES",UPPER(Source!AI139)="Y"),"visually conspicuous",IF(OR(UPPER(Source!AI139)="NO",UPPER(Source!AI139)="N"),"not visually conspicuous",Source!AI139)))</f>
        <v/>
      </c>
      <c r="W139" s="7" t="str">
        <f>IF(Source!AJ139="","",Source!AJ139)</f>
        <v/>
      </c>
    </row>
    <row r="140">
      <c r="A140" s="7" t="str">
        <f>IF(Source!A140="","",Source!A140&amp;"")</f>
        <v/>
      </c>
      <c r="B140" s="7" t="str">
        <f>TRIM(Source!C140&amp;" "&amp;Source!B140&amp;" "&amp;Source!D140)</f>
        <v/>
      </c>
      <c r="C140" s="7" t="str">
        <f>IF(Source!E140="","",Source!E140)</f>
        <v/>
      </c>
      <c r="D140" s="7" t="str">
        <f>IF(Source!F140="","",ROUND(IF(UPPER(Source!I140)="S",-1,1)*(N(Source!F140)+N(Source!G140)/60+N(Source!H140)/3600),7))</f>
        <v/>
      </c>
      <c r="E140" s="7" t="str">
        <f>IF(Source!J140="","",ROUND(IF(UPPER(Source!M140)="W",-1,1)*(N(Source!J140)+N(Source!K140)/60+N(Source!L140)/3600),7))</f>
        <v/>
      </c>
      <c r="F140" s="7" t="str">
        <f>SUBSTITUTE(TRIM(Source!N140&amp;" "&amp;Source!O140&amp;" "&amp;Source!P140)," ","/")</f>
        <v/>
      </c>
      <c r="G140" s="7" t="str">
        <f>IF(Source!Q140="","",Source!Q140)</f>
        <v/>
      </c>
      <c r="H140" s="7" t="str">
        <f>IF(Source!R140="","",Source!R140)</f>
        <v/>
      </c>
      <c r="I140" s="7" t="str">
        <f>IF(Source!S140&lt;&gt;"",Source!S140,IF(Source!C140&lt;&gt;"",Source!C140,""))</f>
        <v/>
      </c>
      <c r="J140" s="7" t="str">
        <f>TRIM(Source!T140&amp;" "&amp;Source!U140&amp;" "&amp;IF(Source!V140="","",Source!V140&amp;"s")&amp;" "&amp;IF(Source!W140="","",Source!W140&amp;"M"))</f>
        <v/>
      </c>
      <c r="K140" s="7" t="str">
        <f>IF(Source!X140="","",Source!X140)</f>
        <v/>
      </c>
      <c r="L140" s="7" t="str">
        <f>IF(Source!Y140="","",Source!Y140)</f>
        <v/>
      </c>
      <c r="M140" s="7" t="str">
        <f>IF(Source!Z140="","",Source!Z140)</f>
        <v/>
      </c>
      <c r="N140" s="7" t="str">
        <f>IF(Source!AA140="","",Source!AA140)</f>
        <v/>
      </c>
      <c r="O140" s="7" t="str">
        <f>IF(Source!AB140="","",Source!AB140)</f>
        <v/>
      </c>
      <c r="P140" s="7" t="str">
        <f>IF(Source!AC140="","",Source!AC140)</f>
        <v/>
      </c>
      <c r="Q140" s="7" t="str">
        <f>IF(Source!AD140="","",TEXT(Source!AD140,"000000000"))</f>
        <v/>
      </c>
      <c r="R140" s="7" t="str">
        <f>IF(Source!AE140="","","physical AIS type "&amp;Source!AE140)</f>
        <v/>
      </c>
      <c r="S140" s="7" t="str">
        <f>IF(Source!AF140="","",IF(LEN(Source!AF140)=1,UPPER(Source!AF140),"yes"))</f>
        <v/>
      </c>
      <c r="T140" s="7" t="str">
        <f>IF(Source!AG140="","",Source!AG140)</f>
        <v/>
      </c>
      <c r="U140" s="7" t="str">
        <f>IF(Source!AH140="","",YEAR(Source!AH140)&amp;"-"&amp;TEXT(MONTH(Source!AH140),"00")&amp;"-"&amp;TEXT(DAY(Source!AH140),"00"))</f>
        <v/>
      </c>
      <c r="V140" s="7" t="str">
        <f>IF(Source!AI140="","",IF(OR(UPPER(Source!AI140)="YES",UPPER(Source!AI140)="Y"),"visually conspicuous",IF(OR(UPPER(Source!AI140)="NO",UPPER(Source!AI140)="N"),"not visually conspicuous",Source!AI140)))</f>
        <v/>
      </c>
      <c r="W140" s="7" t="str">
        <f>IF(Source!AJ140="","",Source!AJ140)</f>
        <v/>
      </c>
    </row>
    <row r="141">
      <c r="A141" s="7" t="str">
        <f>IF(Source!A141="","",Source!A141&amp;"")</f>
        <v/>
      </c>
      <c r="B141" s="7" t="str">
        <f>TRIM(Source!C141&amp;" "&amp;Source!B141&amp;" "&amp;Source!D141)</f>
        <v/>
      </c>
      <c r="C141" s="7" t="str">
        <f>IF(Source!E141="","",Source!E141)</f>
        <v/>
      </c>
      <c r="D141" s="7" t="str">
        <f>IF(Source!F141="","",ROUND(IF(UPPER(Source!I141)="S",-1,1)*(N(Source!F141)+N(Source!G141)/60+N(Source!H141)/3600),7))</f>
        <v/>
      </c>
      <c r="E141" s="7" t="str">
        <f>IF(Source!J141="","",ROUND(IF(UPPER(Source!M141)="W",-1,1)*(N(Source!J141)+N(Source!K141)/60+N(Source!L141)/3600),7))</f>
        <v/>
      </c>
      <c r="F141" s="7" t="str">
        <f>SUBSTITUTE(TRIM(Source!N141&amp;" "&amp;Source!O141&amp;" "&amp;Source!P141)," ","/")</f>
        <v/>
      </c>
      <c r="G141" s="7" t="str">
        <f>IF(Source!Q141="","",Source!Q141)</f>
        <v/>
      </c>
      <c r="H141" s="7" t="str">
        <f>IF(Source!R141="","",Source!R141)</f>
        <v/>
      </c>
      <c r="I141" s="7" t="str">
        <f>IF(Source!S141&lt;&gt;"",Source!S141,IF(Source!C141&lt;&gt;"",Source!C141,""))</f>
        <v/>
      </c>
      <c r="J141" s="7" t="str">
        <f>TRIM(Source!T141&amp;" "&amp;Source!U141&amp;" "&amp;IF(Source!V141="","",Source!V141&amp;"s")&amp;" "&amp;IF(Source!W141="","",Source!W141&amp;"M"))</f>
        <v/>
      </c>
      <c r="K141" s="7" t="str">
        <f>IF(Source!X141="","",Source!X141)</f>
        <v/>
      </c>
      <c r="L141" s="7" t="str">
        <f>IF(Source!Y141="","",Source!Y141)</f>
        <v/>
      </c>
      <c r="M141" s="7" t="str">
        <f>IF(Source!Z141="","",Source!Z141)</f>
        <v/>
      </c>
      <c r="N141" s="7" t="str">
        <f>IF(Source!AA141="","",Source!AA141)</f>
        <v/>
      </c>
      <c r="O141" s="7" t="str">
        <f>IF(Source!AB141="","",Source!AB141)</f>
        <v/>
      </c>
      <c r="P141" s="7" t="str">
        <f>IF(Source!AC141="","",Source!AC141)</f>
        <v/>
      </c>
      <c r="Q141" s="7" t="str">
        <f>IF(Source!AD141="","",TEXT(Source!AD141,"000000000"))</f>
        <v/>
      </c>
      <c r="R141" s="7" t="str">
        <f>IF(Source!AE141="","","physical AIS type "&amp;Source!AE141)</f>
        <v/>
      </c>
      <c r="S141" s="7" t="str">
        <f>IF(Source!AF141="","",IF(LEN(Source!AF141)=1,UPPER(Source!AF141),"yes"))</f>
        <v/>
      </c>
      <c r="T141" s="7" t="str">
        <f>IF(Source!AG141="","",Source!AG141)</f>
        <v/>
      </c>
      <c r="U141" s="7" t="str">
        <f>IF(Source!AH141="","",YEAR(Source!AH141)&amp;"-"&amp;TEXT(MONTH(Source!AH141),"00")&amp;"-"&amp;TEXT(DAY(Source!AH141),"00"))</f>
        <v/>
      </c>
      <c r="V141" s="7" t="str">
        <f>IF(Source!AI141="","",IF(OR(UPPER(Source!AI141)="YES",UPPER(Source!AI141)="Y"),"visually conspicuous",IF(OR(UPPER(Source!AI141)="NO",UPPER(Source!AI141)="N"),"not visually conspicuous",Source!AI141)))</f>
        <v/>
      </c>
      <c r="W141" s="7" t="str">
        <f>IF(Source!AJ141="","",Source!AJ141)</f>
        <v/>
      </c>
    </row>
    <row r="142">
      <c r="A142" s="7" t="str">
        <f>IF(Source!A142="","",Source!A142&amp;"")</f>
        <v/>
      </c>
      <c r="B142" s="7" t="str">
        <f>TRIM(Source!C142&amp;" "&amp;Source!B142&amp;" "&amp;Source!D142)</f>
        <v/>
      </c>
      <c r="C142" s="7" t="str">
        <f>IF(Source!E142="","",Source!E142)</f>
        <v/>
      </c>
      <c r="D142" s="7" t="str">
        <f>IF(Source!F142="","",ROUND(IF(UPPER(Source!I142)="S",-1,1)*(N(Source!F142)+N(Source!G142)/60+N(Source!H142)/3600),7))</f>
        <v/>
      </c>
      <c r="E142" s="7" t="str">
        <f>IF(Source!J142="","",ROUND(IF(UPPER(Source!M142)="W",-1,1)*(N(Source!J142)+N(Source!K142)/60+N(Source!L142)/3600),7))</f>
        <v/>
      </c>
      <c r="F142" s="7" t="str">
        <f>SUBSTITUTE(TRIM(Source!N142&amp;" "&amp;Source!O142&amp;" "&amp;Source!P142)," ","/")</f>
        <v/>
      </c>
      <c r="G142" s="7" t="str">
        <f>IF(Source!Q142="","",Source!Q142)</f>
        <v/>
      </c>
      <c r="H142" s="7" t="str">
        <f>IF(Source!R142="","",Source!R142)</f>
        <v/>
      </c>
      <c r="I142" s="7" t="str">
        <f>IF(Source!S142&lt;&gt;"",Source!S142,IF(Source!C142&lt;&gt;"",Source!C142,""))</f>
        <v/>
      </c>
      <c r="J142" s="7" t="str">
        <f>TRIM(Source!T142&amp;" "&amp;Source!U142&amp;" "&amp;IF(Source!V142="","",Source!V142&amp;"s")&amp;" "&amp;IF(Source!W142="","",Source!W142&amp;"M"))</f>
        <v/>
      </c>
      <c r="K142" s="7" t="str">
        <f>IF(Source!X142="","",Source!X142)</f>
        <v/>
      </c>
      <c r="L142" s="7" t="str">
        <f>IF(Source!Y142="","",Source!Y142)</f>
        <v/>
      </c>
      <c r="M142" s="7" t="str">
        <f>IF(Source!Z142="","",Source!Z142)</f>
        <v/>
      </c>
      <c r="N142" s="7" t="str">
        <f>IF(Source!AA142="","",Source!AA142)</f>
        <v/>
      </c>
      <c r="O142" s="7" t="str">
        <f>IF(Source!AB142="","",Source!AB142)</f>
        <v/>
      </c>
      <c r="P142" s="7" t="str">
        <f>IF(Source!AC142="","",Source!AC142)</f>
        <v/>
      </c>
      <c r="Q142" s="7" t="str">
        <f>IF(Source!AD142="","",TEXT(Source!AD142,"000000000"))</f>
        <v/>
      </c>
      <c r="R142" s="7" t="str">
        <f>IF(Source!AE142="","","physical AIS type "&amp;Source!AE142)</f>
        <v/>
      </c>
      <c r="S142" s="7" t="str">
        <f>IF(Source!AF142="","",IF(LEN(Source!AF142)=1,UPPER(Source!AF142),"yes"))</f>
        <v/>
      </c>
      <c r="T142" s="7" t="str">
        <f>IF(Source!AG142="","",Source!AG142)</f>
        <v/>
      </c>
      <c r="U142" s="7" t="str">
        <f>IF(Source!AH142="","",YEAR(Source!AH142)&amp;"-"&amp;TEXT(MONTH(Source!AH142),"00")&amp;"-"&amp;TEXT(DAY(Source!AH142),"00"))</f>
        <v/>
      </c>
      <c r="V142" s="7" t="str">
        <f>IF(Source!AI142="","",IF(OR(UPPER(Source!AI142)="YES",UPPER(Source!AI142)="Y"),"visually conspicuous",IF(OR(UPPER(Source!AI142)="NO",UPPER(Source!AI142)="N"),"not visually conspicuous",Source!AI142)))</f>
        <v/>
      </c>
      <c r="W142" s="7" t="str">
        <f>IF(Source!AJ142="","",Source!AJ142)</f>
        <v/>
      </c>
    </row>
    <row r="143">
      <c r="A143" s="7" t="str">
        <f>IF(Source!A143="","",Source!A143&amp;"")</f>
        <v/>
      </c>
      <c r="B143" s="7" t="str">
        <f>TRIM(Source!C143&amp;" "&amp;Source!B143&amp;" "&amp;Source!D143)</f>
        <v/>
      </c>
      <c r="C143" s="7" t="str">
        <f>IF(Source!E143="","",Source!E143)</f>
        <v/>
      </c>
      <c r="D143" s="7" t="str">
        <f>IF(Source!F143="","",ROUND(IF(UPPER(Source!I143)="S",-1,1)*(N(Source!F143)+N(Source!G143)/60+N(Source!H143)/3600),7))</f>
        <v/>
      </c>
      <c r="E143" s="7" t="str">
        <f>IF(Source!J143="","",ROUND(IF(UPPER(Source!M143)="W",-1,1)*(N(Source!J143)+N(Source!K143)/60+N(Source!L143)/3600),7))</f>
        <v/>
      </c>
      <c r="F143" s="7" t="str">
        <f>SUBSTITUTE(TRIM(Source!N143&amp;" "&amp;Source!O143&amp;" "&amp;Source!P143)," ","/")</f>
        <v/>
      </c>
      <c r="G143" s="7" t="str">
        <f>IF(Source!Q143="","",Source!Q143)</f>
        <v/>
      </c>
      <c r="H143" s="7" t="str">
        <f>IF(Source!R143="","",Source!R143)</f>
        <v/>
      </c>
      <c r="I143" s="7" t="str">
        <f>IF(Source!S143&lt;&gt;"",Source!S143,IF(Source!C143&lt;&gt;"",Source!C143,""))</f>
        <v/>
      </c>
      <c r="J143" s="7" t="str">
        <f>TRIM(Source!T143&amp;" "&amp;Source!U143&amp;" "&amp;IF(Source!V143="","",Source!V143&amp;"s")&amp;" "&amp;IF(Source!W143="","",Source!W143&amp;"M"))</f>
        <v/>
      </c>
      <c r="K143" s="7" t="str">
        <f>IF(Source!X143="","",Source!X143)</f>
        <v/>
      </c>
      <c r="L143" s="7" t="str">
        <f>IF(Source!Y143="","",Source!Y143)</f>
        <v/>
      </c>
      <c r="M143" s="7" t="str">
        <f>IF(Source!Z143="","",Source!Z143)</f>
        <v/>
      </c>
      <c r="N143" s="7" t="str">
        <f>IF(Source!AA143="","",Source!AA143)</f>
        <v/>
      </c>
      <c r="O143" s="7" t="str">
        <f>IF(Source!AB143="","",Source!AB143)</f>
        <v/>
      </c>
      <c r="P143" s="7" t="str">
        <f>IF(Source!AC143="","",Source!AC143)</f>
        <v/>
      </c>
      <c r="Q143" s="7" t="str">
        <f>IF(Source!AD143="","",TEXT(Source!AD143,"000000000"))</f>
        <v/>
      </c>
      <c r="R143" s="7" t="str">
        <f>IF(Source!AE143="","","physical AIS type "&amp;Source!AE143)</f>
        <v/>
      </c>
      <c r="S143" s="7" t="str">
        <f>IF(Source!AF143="","",IF(LEN(Source!AF143)=1,UPPER(Source!AF143),"yes"))</f>
        <v/>
      </c>
      <c r="T143" s="7" t="str">
        <f>IF(Source!AG143="","",Source!AG143)</f>
        <v/>
      </c>
      <c r="U143" s="7" t="str">
        <f>IF(Source!AH143="","",YEAR(Source!AH143)&amp;"-"&amp;TEXT(MONTH(Source!AH143),"00")&amp;"-"&amp;TEXT(DAY(Source!AH143),"00"))</f>
        <v/>
      </c>
      <c r="V143" s="7" t="str">
        <f>IF(Source!AI143="","",IF(OR(UPPER(Source!AI143)="YES",UPPER(Source!AI143)="Y"),"visually conspicuous",IF(OR(UPPER(Source!AI143)="NO",UPPER(Source!AI143)="N"),"not visually conspicuous",Source!AI143)))</f>
        <v/>
      </c>
      <c r="W143" s="7" t="str">
        <f>IF(Source!AJ143="","",Source!AJ143)</f>
        <v/>
      </c>
    </row>
    <row r="144">
      <c r="A144" s="7" t="str">
        <f>IF(Source!A144="","",Source!A144&amp;"")</f>
        <v/>
      </c>
      <c r="B144" s="7" t="str">
        <f>TRIM(Source!C144&amp;" "&amp;Source!B144&amp;" "&amp;Source!D144)</f>
        <v/>
      </c>
      <c r="C144" s="7" t="str">
        <f>IF(Source!E144="","",Source!E144)</f>
        <v/>
      </c>
      <c r="D144" s="7" t="str">
        <f>IF(Source!F144="","",ROUND(IF(UPPER(Source!I144)="S",-1,1)*(N(Source!F144)+N(Source!G144)/60+N(Source!H144)/3600),7))</f>
        <v/>
      </c>
      <c r="E144" s="7" t="str">
        <f>IF(Source!J144="","",ROUND(IF(UPPER(Source!M144)="W",-1,1)*(N(Source!J144)+N(Source!K144)/60+N(Source!L144)/3600),7))</f>
        <v/>
      </c>
      <c r="F144" s="7" t="str">
        <f>SUBSTITUTE(TRIM(Source!N144&amp;" "&amp;Source!O144&amp;" "&amp;Source!P144)," ","/")</f>
        <v/>
      </c>
      <c r="G144" s="7" t="str">
        <f>IF(Source!Q144="","",Source!Q144)</f>
        <v/>
      </c>
      <c r="H144" s="7" t="str">
        <f>IF(Source!R144="","",Source!R144)</f>
        <v/>
      </c>
      <c r="I144" s="7" t="str">
        <f>IF(Source!S144&lt;&gt;"",Source!S144,IF(Source!C144&lt;&gt;"",Source!C144,""))</f>
        <v/>
      </c>
      <c r="J144" s="7" t="str">
        <f>TRIM(Source!T144&amp;" "&amp;Source!U144&amp;" "&amp;IF(Source!V144="","",Source!V144&amp;"s")&amp;" "&amp;IF(Source!W144="","",Source!W144&amp;"M"))</f>
        <v/>
      </c>
      <c r="K144" s="7" t="str">
        <f>IF(Source!X144="","",Source!X144)</f>
        <v/>
      </c>
      <c r="L144" s="7" t="str">
        <f>IF(Source!Y144="","",Source!Y144)</f>
        <v/>
      </c>
      <c r="M144" s="7" t="str">
        <f>IF(Source!Z144="","",Source!Z144)</f>
        <v/>
      </c>
      <c r="N144" s="7" t="str">
        <f>IF(Source!AA144="","",Source!AA144)</f>
        <v/>
      </c>
      <c r="O144" s="7" t="str">
        <f>IF(Source!AB144="","",Source!AB144)</f>
        <v/>
      </c>
      <c r="P144" s="7" t="str">
        <f>IF(Source!AC144="","",Source!AC144)</f>
        <v/>
      </c>
      <c r="Q144" s="7" t="str">
        <f>IF(Source!AD144="","",TEXT(Source!AD144,"000000000"))</f>
        <v/>
      </c>
      <c r="R144" s="7" t="str">
        <f>IF(Source!AE144="","","physical AIS type "&amp;Source!AE144)</f>
        <v/>
      </c>
      <c r="S144" s="7" t="str">
        <f>IF(Source!AF144="","",IF(LEN(Source!AF144)=1,UPPER(Source!AF144),"yes"))</f>
        <v/>
      </c>
      <c r="T144" s="7" t="str">
        <f>IF(Source!AG144="","",Source!AG144)</f>
        <v/>
      </c>
      <c r="U144" s="7" t="str">
        <f>IF(Source!AH144="","",YEAR(Source!AH144)&amp;"-"&amp;TEXT(MONTH(Source!AH144),"00")&amp;"-"&amp;TEXT(DAY(Source!AH144),"00"))</f>
        <v/>
      </c>
      <c r="V144" s="7" t="str">
        <f>IF(Source!AI144="","",IF(OR(UPPER(Source!AI144)="YES",UPPER(Source!AI144)="Y"),"visually conspicuous",IF(OR(UPPER(Source!AI144)="NO",UPPER(Source!AI144)="N"),"not visually conspicuous",Source!AI144)))</f>
        <v/>
      </c>
      <c r="W144" s="7" t="str">
        <f>IF(Source!AJ144="","",Source!AJ144)</f>
        <v/>
      </c>
    </row>
    <row r="145">
      <c r="A145" s="7" t="str">
        <f>IF(Source!A145="","",Source!A145&amp;"")</f>
        <v/>
      </c>
      <c r="B145" s="7" t="str">
        <f>TRIM(Source!C145&amp;" "&amp;Source!B145&amp;" "&amp;Source!D145)</f>
        <v/>
      </c>
      <c r="C145" s="7" t="str">
        <f>IF(Source!E145="","",Source!E145)</f>
        <v/>
      </c>
      <c r="D145" s="7" t="str">
        <f>IF(Source!F145="","",ROUND(IF(UPPER(Source!I145)="S",-1,1)*(N(Source!F145)+N(Source!G145)/60+N(Source!H145)/3600),7))</f>
        <v/>
      </c>
      <c r="E145" s="7" t="str">
        <f>IF(Source!J145="","",ROUND(IF(UPPER(Source!M145)="W",-1,1)*(N(Source!J145)+N(Source!K145)/60+N(Source!L145)/3600),7))</f>
        <v/>
      </c>
      <c r="F145" s="7" t="str">
        <f>SUBSTITUTE(TRIM(Source!N145&amp;" "&amp;Source!O145&amp;" "&amp;Source!P145)," ","/")</f>
        <v/>
      </c>
      <c r="G145" s="7" t="str">
        <f>IF(Source!Q145="","",Source!Q145)</f>
        <v/>
      </c>
      <c r="H145" s="7" t="str">
        <f>IF(Source!R145="","",Source!R145)</f>
        <v/>
      </c>
      <c r="I145" s="7" t="str">
        <f>IF(Source!S145&lt;&gt;"",Source!S145,IF(Source!C145&lt;&gt;"",Source!C145,""))</f>
        <v/>
      </c>
      <c r="J145" s="7" t="str">
        <f>TRIM(Source!T145&amp;" "&amp;Source!U145&amp;" "&amp;IF(Source!V145="","",Source!V145&amp;"s")&amp;" "&amp;IF(Source!W145="","",Source!W145&amp;"M"))</f>
        <v/>
      </c>
      <c r="K145" s="7" t="str">
        <f>IF(Source!X145="","",Source!X145)</f>
        <v/>
      </c>
      <c r="L145" s="7" t="str">
        <f>IF(Source!Y145="","",Source!Y145)</f>
        <v/>
      </c>
      <c r="M145" s="7" t="str">
        <f>IF(Source!Z145="","",Source!Z145)</f>
        <v/>
      </c>
      <c r="N145" s="7" t="str">
        <f>IF(Source!AA145="","",Source!AA145)</f>
        <v/>
      </c>
      <c r="O145" s="7" t="str">
        <f>IF(Source!AB145="","",Source!AB145)</f>
        <v/>
      </c>
      <c r="P145" s="7" t="str">
        <f>IF(Source!AC145="","",Source!AC145)</f>
        <v/>
      </c>
      <c r="Q145" s="7" t="str">
        <f>IF(Source!AD145="","",TEXT(Source!AD145,"000000000"))</f>
        <v/>
      </c>
      <c r="R145" s="7" t="str">
        <f>IF(Source!AE145="","","physical AIS type "&amp;Source!AE145)</f>
        <v/>
      </c>
      <c r="S145" s="7" t="str">
        <f>IF(Source!AF145="","",IF(LEN(Source!AF145)=1,UPPER(Source!AF145),"yes"))</f>
        <v/>
      </c>
      <c r="T145" s="7" t="str">
        <f>IF(Source!AG145="","",Source!AG145)</f>
        <v/>
      </c>
      <c r="U145" s="7" t="str">
        <f>IF(Source!AH145="","",YEAR(Source!AH145)&amp;"-"&amp;TEXT(MONTH(Source!AH145),"00")&amp;"-"&amp;TEXT(DAY(Source!AH145),"00"))</f>
        <v/>
      </c>
      <c r="V145" s="7" t="str">
        <f>IF(Source!AI145="","",IF(OR(UPPER(Source!AI145)="YES",UPPER(Source!AI145)="Y"),"visually conspicuous",IF(OR(UPPER(Source!AI145)="NO",UPPER(Source!AI145)="N"),"not visually conspicuous",Source!AI145)))</f>
        <v/>
      </c>
      <c r="W145" s="7" t="str">
        <f>IF(Source!AJ145="","",Source!AJ145)</f>
        <v/>
      </c>
    </row>
    <row r="146">
      <c r="A146" s="7" t="str">
        <f>IF(Source!A146="","",Source!A146&amp;"")</f>
        <v/>
      </c>
      <c r="B146" s="7" t="str">
        <f>TRIM(Source!C146&amp;" "&amp;Source!B146&amp;" "&amp;Source!D146)</f>
        <v/>
      </c>
      <c r="C146" s="7" t="str">
        <f>IF(Source!E146="","",Source!E146)</f>
        <v/>
      </c>
      <c r="D146" s="7" t="str">
        <f>IF(Source!F146="","",ROUND(IF(UPPER(Source!I146)="S",-1,1)*(N(Source!F146)+N(Source!G146)/60+N(Source!H146)/3600),7))</f>
        <v/>
      </c>
      <c r="E146" s="7" t="str">
        <f>IF(Source!J146="","",ROUND(IF(UPPER(Source!M146)="W",-1,1)*(N(Source!J146)+N(Source!K146)/60+N(Source!L146)/3600),7))</f>
        <v/>
      </c>
      <c r="F146" s="7" t="str">
        <f>SUBSTITUTE(TRIM(Source!N146&amp;" "&amp;Source!O146&amp;" "&amp;Source!P146)," ","/")</f>
        <v/>
      </c>
      <c r="G146" s="7" t="str">
        <f>IF(Source!Q146="","",Source!Q146)</f>
        <v/>
      </c>
      <c r="H146" s="7" t="str">
        <f>IF(Source!R146="","",Source!R146)</f>
        <v/>
      </c>
      <c r="I146" s="7" t="str">
        <f>IF(Source!S146&lt;&gt;"",Source!S146,IF(Source!C146&lt;&gt;"",Source!C146,""))</f>
        <v/>
      </c>
      <c r="J146" s="7" t="str">
        <f>TRIM(Source!T146&amp;" "&amp;Source!U146&amp;" "&amp;IF(Source!V146="","",Source!V146&amp;"s")&amp;" "&amp;IF(Source!W146="","",Source!W146&amp;"M"))</f>
        <v/>
      </c>
      <c r="K146" s="7" t="str">
        <f>IF(Source!X146="","",Source!X146)</f>
        <v/>
      </c>
      <c r="L146" s="7" t="str">
        <f>IF(Source!Y146="","",Source!Y146)</f>
        <v/>
      </c>
      <c r="M146" s="7" t="str">
        <f>IF(Source!Z146="","",Source!Z146)</f>
        <v/>
      </c>
      <c r="N146" s="7" t="str">
        <f>IF(Source!AA146="","",Source!AA146)</f>
        <v/>
      </c>
      <c r="O146" s="7" t="str">
        <f>IF(Source!AB146="","",Source!AB146)</f>
        <v/>
      </c>
      <c r="P146" s="7" t="str">
        <f>IF(Source!AC146="","",Source!AC146)</f>
        <v/>
      </c>
      <c r="Q146" s="7" t="str">
        <f>IF(Source!AD146="","",TEXT(Source!AD146,"000000000"))</f>
        <v/>
      </c>
      <c r="R146" s="7" t="str">
        <f>IF(Source!AE146="","","physical AIS type "&amp;Source!AE146)</f>
        <v/>
      </c>
      <c r="S146" s="7" t="str">
        <f>IF(Source!AF146="","",IF(LEN(Source!AF146)=1,UPPER(Source!AF146),"yes"))</f>
        <v/>
      </c>
      <c r="T146" s="7" t="str">
        <f>IF(Source!AG146="","",Source!AG146)</f>
        <v/>
      </c>
      <c r="U146" s="7" t="str">
        <f>IF(Source!AH146="","",YEAR(Source!AH146)&amp;"-"&amp;TEXT(MONTH(Source!AH146),"00")&amp;"-"&amp;TEXT(DAY(Source!AH146),"00"))</f>
        <v/>
      </c>
      <c r="V146" s="7" t="str">
        <f>IF(Source!AI146="","",IF(OR(UPPER(Source!AI146)="YES",UPPER(Source!AI146)="Y"),"visually conspicuous",IF(OR(UPPER(Source!AI146)="NO",UPPER(Source!AI146)="N"),"not visually conspicuous",Source!AI146)))</f>
        <v/>
      </c>
      <c r="W146" s="7" t="str">
        <f>IF(Source!AJ146="","",Source!AJ146)</f>
        <v/>
      </c>
    </row>
    <row r="147">
      <c r="A147" s="7" t="str">
        <f>IF(Source!A147="","",Source!A147&amp;"")</f>
        <v/>
      </c>
      <c r="B147" s="7" t="str">
        <f>TRIM(Source!C147&amp;" "&amp;Source!B147&amp;" "&amp;Source!D147)</f>
        <v/>
      </c>
      <c r="C147" s="7" t="str">
        <f>IF(Source!E147="","",Source!E147)</f>
        <v/>
      </c>
      <c r="D147" s="7" t="str">
        <f>IF(Source!F147="","",ROUND(IF(UPPER(Source!I147)="S",-1,1)*(N(Source!F147)+N(Source!G147)/60+N(Source!H147)/3600),7))</f>
        <v/>
      </c>
      <c r="E147" s="7" t="str">
        <f>IF(Source!J147="","",ROUND(IF(UPPER(Source!M147)="W",-1,1)*(N(Source!J147)+N(Source!K147)/60+N(Source!L147)/3600),7))</f>
        <v/>
      </c>
      <c r="F147" s="7" t="str">
        <f>SUBSTITUTE(TRIM(Source!N147&amp;" "&amp;Source!O147&amp;" "&amp;Source!P147)," ","/")</f>
        <v/>
      </c>
      <c r="G147" s="7" t="str">
        <f>IF(Source!Q147="","",Source!Q147)</f>
        <v/>
      </c>
      <c r="H147" s="7" t="str">
        <f>IF(Source!R147="","",Source!R147)</f>
        <v/>
      </c>
      <c r="I147" s="7" t="str">
        <f>IF(Source!S147&lt;&gt;"",Source!S147,IF(Source!C147&lt;&gt;"",Source!C147,""))</f>
        <v/>
      </c>
      <c r="J147" s="7" t="str">
        <f>TRIM(Source!T147&amp;" "&amp;Source!U147&amp;" "&amp;IF(Source!V147="","",Source!V147&amp;"s")&amp;" "&amp;IF(Source!W147="","",Source!W147&amp;"M"))</f>
        <v/>
      </c>
      <c r="K147" s="7" t="str">
        <f>IF(Source!X147="","",Source!X147)</f>
        <v/>
      </c>
      <c r="L147" s="7" t="str">
        <f>IF(Source!Y147="","",Source!Y147)</f>
        <v/>
      </c>
      <c r="M147" s="7" t="str">
        <f>IF(Source!Z147="","",Source!Z147)</f>
        <v/>
      </c>
      <c r="N147" s="7" t="str">
        <f>IF(Source!AA147="","",Source!AA147)</f>
        <v/>
      </c>
      <c r="O147" s="7" t="str">
        <f>IF(Source!AB147="","",Source!AB147)</f>
        <v/>
      </c>
      <c r="P147" s="7" t="str">
        <f>IF(Source!AC147="","",Source!AC147)</f>
        <v/>
      </c>
      <c r="Q147" s="7" t="str">
        <f>IF(Source!AD147="","",TEXT(Source!AD147,"000000000"))</f>
        <v/>
      </c>
      <c r="R147" s="7" t="str">
        <f>IF(Source!AE147="","","physical AIS type "&amp;Source!AE147)</f>
        <v/>
      </c>
      <c r="S147" s="7" t="str">
        <f>IF(Source!AF147="","",IF(LEN(Source!AF147)=1,UPPER(Source!AF147),"yes"))</f>
        <v/>
      </c>
      <c r="T147" s="7" t="str">
        <f>IF(Source!AG147="","",Source!AG147)</f>
        <v/>
      </c>
      <c r="U147" s="7" t="str">
        <f>IF(Source!AH147="","",YEAR(Source!AH147)&amp;"-"&amp;TEXT(MONTH(Source!AH147),"00")&amp;"-"&amp;TEXT(DAY(Source!AH147),"00"))</f>
        <v/>
      </c>
      <c r="V147" s="7" t="str">
        <f>IF(Source!AI147="","",IF(OR(UPPER(Source!AI147)="YES",UPPER(Source!AI147)="Y"),"visually conspicuous",IF(OR(UPPER(Source!AI147)="NO",UPPER(Source!AI147)="N"),"not visually conspicuous",Source!AI147)))</f>
        <v/>
      </c>
      <c r="W147" s="7" t="str">
        <f>IF(Source!AJ147="","",Source!AJ147)</f>
        <v/>
      </c>
    </row>
    <row r="148">
      <c r="A148" s="7" t="str">
        <f>IF(Source!A148="","",Source!A148&amp;"")</f>
        <v/>
      </c>
      <c r="B148" s="7" t="str">
        <f>TRIM(Source!C148&amp;" "&amp;Source!B148&amp;" "&amp;Source!D148)</f>
        <v/>
      </c>
      <c r="C148" s="7" t="str">
        <f>IF(Source!E148="","",Source!E148)</f>
        <v/>
      </c>
      <c r="D148" s="7" t="str">
        <f>IF(Source!F148="","",ROUND(IF(UPPER(Source!I148)="S",-1,1)*(N(Source!F148)+N(Source!G148)/60+N(Source!H148)/3600),7))</f>
        <v/>
      </c>
      <c r="E148" s="7" t="str">
        <f>IF(Source!J148="","",ROUND(IF(UPPER(Source!M148)="W",-1,1)*(N(Source!J148)+N(Source!K148)/60+N(Source!L148)/3600),7))</f>
        <v/>
      </c>
      <c r="F148" s="7" t="str">
        <f>SUBSTITUTE(TRIM(Source!N148&amp;" "&amp;Source!O148&amp;" "&amp;Source!P148)," ","/")</f>
        <v/>
      </c>
      <c r="G148" s="7" t="str">
        <f>IF(Source!Q148="","",Source!Q148)</f>
        <v/>
      </c>
      <c r="H148" s="7" t="str">
        <f>IF(Source!R148="","",Source!R148)</f>
        <v/>
      </c>
      <c r="I148" s="7" t="str">
        <f>IF(Source!S148&lt;&gt;"",Source!S148,IF(Source!C148&lt;&gt;"",Source!C148,""))</f>
        <v/>
      </c>
      <c r="J148" s="7" t="str">
        <f>TRIM(Source!T148&amp;" "&amp;Source!U148&amp;" "&amp;IF(Source!V148="","",Source!V148&amp;"s")&amp;" "&amp;IF(Source!W148="","",Source!W148&amp;"M"))</f>
        <v/>
      </c>
      <c r="K148" s="7" t="str">
        <f>IF(Source!X148="","",Source!X148)</f>
        <v/>
      </c>
      <c r="L148" s="7" t="str">
        <f>IF(Source!Y148="","",Source!Y148)</f>
        <v/>
      </c>
      <c r="M148" s="7" t="str">
        <f>IF(Source!Z148="","",Source!Z148)</f>
        <v/>
      </c>
      <c r="N148" s="7" t="str">
        <f>IF(Source!AA148="","",Source!AA148)</f>
        <v/>
      </c>
      <c r="O148" s="7" t="str">
        <f>IF(Source!AB148="","",Source!AB148)</f>
        <v/>
      </c>
      <c r="P148" s="7" t="str">
        <f>IF(Source!AC148="","",Source!AC148)</f>
        <v/>
      </c>
      <c r="Q148" s="7" t="str">
        <f>IF(Source!AD148="","",TEXT(Source!AD148,"000000000"))</f>
        <v/>
      </c>
      <c r="R148" s="7" t="str">
        <f>IF(Source!AE148="","","physical AIS type "&amp;Source!AE148)</f>
        <v/>
      </c>
      <c r="S148" s="7" t="str">
        <f>IF(Source!AF148="","",IF(LEN(Source!AF148)=1,UPPER(Source!AF148),"yes"))</f>
        <v/>
      </c>
      <c r="T148" s="7" t="str">
        <f>IF(Source!AG148="","",Source!AG148)</f>
        <v/>
      </c>
      <c r="U148" s="7" t="str">
        <f>IF(Source!AH148="","",YEAR(Source!AH148)&amp;"-"&amp;TEXT(MONTH(Source!AH148),"00")&amp;"-"&amp;TEXT(DAY(Source!AH148),"00"))</f>
        <v/>
      </c>
      <c r="V148" s="7" t="str">
        <f>IF(Source!AI148="","",IF(OR(UPPER(Source!AI148)="YES",UPPER(Source!AI148)="Y"),"visually conspicuous",IF(OR(UPPER(Source!AI148)="NO",UPPER(Source!AI148)="N"),"not visually conspicuous",Source!AI148)))</f>
        <v/>
      </c>
      <c r="W148" s="7" t="str">
        <f>IF(Source!AJ148="","",Source!AJ148)</f>
        <v/>
      </c>
    </row>
    <row r="149">
      <c r="A149" s="7" t="str">
        <f>IF(Source!A149="","",Source!A149&amp;"")</f>
        <v/>
      </c>
      <c r="B149" s="7" t="str">
        <f>TRIM(Source!C149&amp;" "&amp;Source!B149&amp;" "&amp;Source!D149)</f>
        <v/>
      </c>
      <c r="C149" s="7" t="str">
        <f>IF(Source!E149="","",Source!E149)</f>
        <v/>
      </c>
      <c r="D149" s="7" t="str">
        <f>IF(Source!F149="","",ROUND(IF(UPPER(Source!I149)="S",-1,1)*(N(Source!F149)+N(Source!G149)/60+N(Source!H149)/3600),7))</f>
        <v/>
      </c>
      <c r="E149" s="7" t="str">
        <f>IF(Source!J149="","",ROUND(IF(UPPER(Source!M149)="W",-1,1)*(N(Source!J149)+N(Source!K149)/60+N(Source!L149)/3600),7))</f>
        <v/>
      </c>
      <c r="F149" s="7" t="str">
        <f>SUBSTITUTE(TRIM(Source!N149&amp;" "&amp;Source!O149&amp;" "&amp;Source!P149)," ","/")</f>
        <v/>
      </c>
      <c r="G149" s="7" t="str">
        <f>IF(Source!Q149="","",Source!Q149)</f>
        <v/>
      </c>
      <c r="H149" s="7" t="str">
        <f>IF(Source!R149="","",Source!R149)</f>
        <v/>
      </c>
      <c r="I149" s="7" t="str">
        <f>IF(Source!S149&lt;&gt;"",Source!S149,IF(Source!C149&lt;&gt;"",Source!C149,""))</f>
        <v/>
      </c>
      <c r="J149" s="7" t="str">
        <f>TRIM(Source!T149&amp;" "&amp;Source!U149&amp;" "&amp;IF(Source!V149="","",Source!V149&amp;"s")&amp;" "&amp;IF(Source!W149="","",Source!W149&amp;"M"))</f>
        <v/>
      </c>
      <c r="K149" s="7" t="str">
        <f>IF(Source!X149="","",Source!X149)</f>
        <v/>
      </c>
      <c r="L149" s="7" t="str">
        <f>IF(Source!Y149="","",Source!Y149)</f>
        <v/>
      </c>
      <c r="M149" s="7" t="str">
        <f>IF(Source!Z149="","",Source!Z149)</f>
        <v/>
      </c>
      <c r="N149" s="7" t="str">
        <f>IF(Source!AA149="","",Source!AA149)</f>
        <v/>
      </c>
      <c r="O149" s="7" t="str">
        <f>IF(Source!AB149="","",Source!AB149)</f>
        <v/>
      </c>
      <c r="P149" s="7" t="str">
        <f>IF(Source!AC149="","",Source!AC149)</f>
        <v/>
      </c>
      <c r="Q149" s="7" t="str">
        <f>IF(Source!AD149="","",TEXT(Source!AD149,"000000000"))</f>
        <v/>
      </c>
      <c r="R149" s="7" t="str">
        <f>IF(Source!AE149="","","physical AIS type "&amp;Source!AE149)</f>
        <v/>
      </c>
      <c r="S149" s="7" t="str">
        <f>IF(Source!AF149="","",IF(LEN(Source!AF149)=1,UPPER(Source!AF149),"yes"))</f>
        <v/>
      </c>
      <c r="T149" s="7" t="str">
        <f>IF(Source!AG149="","",Source!AG149)</f>
        <v/>
      </c>
      <c r="U149" s="7" t="str">
        <f>IF(Source!AH149="","",YEAR(Source!AH149)&amp;"-"&amp;TEXT(MONTH(Source!AH149),"00")&amp;"-"&amp;TEXT(DAY(Source!AH149),"00"))</f>
        <v/>
      </c>
      <c r="V149" s="7" t="str">
        <f>IF(Source!AI149="","",IF(OR(UPPER(Source!AI149)="YES",UPPER(Source!AI149)="Y"),"visually conspicuous",IF(OR(UPPER(Source!AI149)="NO",UPPER(Source!AI149)="N"),"not visually conspicuous",Source!AI149)))</f>
        <v/>
      </c>
      <c r="W149" s="7" t="str">
        <f>IF(Source!AJ149="","",Source!AJ149)</f>
        <v/>
      </c>
    </row>
    <row r="150">
      <c r="A150" s="7" t="str">
        <f>IF(Source!A150="","",Source!A150&amp;"")</f>
        <v/>
      </c>
      <c r="B150" s="7" t="str">
        <f>TRIM(Source!C150&amp;" "&amp;Source!B150&amp;" "&amp;Source!D150)</f>
        <v/>
      </c>
      <c r="C150" s="7" t="str">
        <f>IF(Source!E150="","",Source!E150)</f>
        <v/>
      </c>
      <c r="D150" s="7" t="str">
        <f>IF(Source!F150="","",ROUND(IF(UPPER(Source!I150)="S",-1,1)*(N(Source!F150)+N(Source!G150)/60+N(Source!H150)/3600),7))</f>
        <v/>
      </c>
      <c r="E150" s="7" t="str">
        <f>IF(Source!J150="","",ROUND(IF(UPPER(Source!M150)="W",-1,1)*(N(Source!J150)+N(Source!K150)/60+N(Source!L150)/3600),7))</f>
        <v/>
      </c>
      <c r="F150" s="7" t="str">
        <f>SUBSTITUTE(TRIM(Source!N150&amp;" "&amp;Source!O150&amp;" "&amp;Source!P150)," ","/")</f>
        <v/>
      </c>
      <c r="G150" s="7" t="str">
        <f>IF(Source!Q150="","",Source!Q150)</f>
        <v/>
      </c>
      <c r="H150" s="7" t="str">
        <f>IF(Source!R150="","",Source!R150)</f>
        <v/>
      </c>
      <c r="I150" s="7" t="str">
        <f>IF(Source!S150&lt;&gt;"",Source!S150,IF(Source!C150&lt;&gt;"",Source!C150,""))</f>
        <v/>
      </c>
      <c r="J150" s="7" t="str">
        <f>TRIM(Source!T150&amp;" "&amp;Source!U150&amp;" "&amp;IF(Source!V150="","",Source!V150&amp;"s")&amp;" "&amp;IF(Source!W150="","",Source!W150&amp;"M"))</f>
        <v/>
      </c>
      <c r="K150" s="7" t="str">
        <f>IF(Source!X150="","",Source!X150)</f>
        <v/>
      </c>
      <c r="L150" s="7" t="str">
        <f>IF(Source!Y150="","",Source!Y150)</f>
        <v/>
      </c>
      <c r="M150" s="7" t="str">
        <f>IF(Source!Z150="","",Source!Z150)</f>
        <v/>
      </c>
      <c r="N150" s="7" t="str">
        <f>IF(Source!AA150="","",Source!AA150)</f>
        <v/>
      </c>
      <c r="O150" s="7" t="str">
        <f>IF(Source!AB150="","",Source!AB150)</f>
        <v/>
      </c>
      <c r="P150" s="7" t="str">
        <f>IF(Source!AC150="","",Source!AC150)</f>
        <v/>
      </c>
      <c r="Q150" s="7" t="str">
        <f>IF(Source!AD150="","",TEXT(Source!AD150,"000000000"))</f>
        <v/>
      </c>
      <c r="R150" s="7" t="str">
        <f>IF(Source!AE150="","","physical AIS type "&amp;Source!AE150)</f>
        <v/>
      </c>
      <c r="S150" s="7" t="str">
        <f>IF(Source!AF150="","",IF(LEN(Source!AF150)=1,UPPER(Source!AF150),"yes"))</f>
        <v/>
      </c>
      <c r="T150" s="7" t="str">
        <f>IF(Source!AG150="","",Source!AG150)</f>
        <v/>
      </c>
      <c r="U150" s="7" t="str">
        <f>IF(Source!AH150="","",YEAR(Source!AH150)&amp;"-"&amp;TEXT(MONTH(Source!AH150),"00")&amp;"-"&amp;TEXT(DAY(Source!AH150),"00"))</f>
        <v/>
      </c>
      <c r="V150" s="7" t="str">
        <f>IF(Source!AI150="","",IF(OR(UPPER(Source!AI150)="YES",UPPER(Source!AI150)="Y"),"visually conspicuous",IF(OR(UPPER(Source!AI150)="NO",UPPER(Source!AI150)="N"),"not visually conspicuous",Source!AI150)))</f>
        <v/>
      </c>
      <c r="W150" s="7" t="str">
        <f>IF(Source!AJ150="","",Source!AJ150)</f>
        <v/>
      </c>
    </row>
    <row r="151">
      <c r="A151" s="7" t="str">
        <f>IF(Source!A151="","",Source!A151&amp;"")</f>
        <v/>
      </c>
      <c r="B151" s="7" t="str">
        <f>TRIM(Source!C151&amp;" "&amp;Source!B151&amp;" "&amp;Source!D151)</f>
        <v/>
      </c>
      <c r="C151" s="7" t="str">
        <f>IF(Source!E151="","",Source!E151)</f>
        <v/>
      </c>
      <c r="D151" s="7" t="str">
        <f>IF(Source!F151="","",ROUND(IF(UPPER(Source!I151)="S",-1,1)*(N(Source!F151)+N(Source!G151)/60+N(Source!H151)/3600),7))</f>
        <v/>
      </c>
      <c r="E151" s="7" t="str">
        <f>IF(Source!J151="","",ROUND(IF(UPPER(Source!M151)="W",-1,1)*(N(Source!J151)+N(Source!K151)/60+N(Source!L151)/3600),7))</f>
        <v/>
      </c>
      <c r="F151" s="7" t="str">
        <f>SUBSTITUTE(TRIM(Source!N151&amp;" "&amp;Source!O151&amp;" "&amp;Source!P151)," ","/")</f>
        <v/>
      </c>
      <c r="G151" s="7" t="str">
        <f>IF(Source!Q151="","",Source!Q151)</f>
        <v/>
      </c>
      <c r="H151" s="7" t="str">
        <f>IF(Source!R151="","",Source!R151)</f>
        <v/>
      </c>
      <c r="I151" s="7" t="str">
        <f>IF(Source!S151&lt;&gt;"",Source!S151,IF(Source!C151&lt;&gt;"",Source!C151,""))</f>
        <v/>
      </c>
      <c r="J151" s="7" t="str">
        <f>TRIM(Source!T151&amp;" "&amp;Source!U151&amp;" "&amp;IF(Source!V151="","",Source!V151&amp;"s")&amp;" "&amp;IF(Source!W151="","",Source!W151&amp;"M"))</f>
        <v/>
      </c>
      <c r="K151" s="7" t="str">
        <f>IF(Source!X151="","",Source!X151)</f>
        <v/>
      </c>
      <c r="L151" s="7" t="str">
        <f>IF(Source!Y151="","",Source!Y151)</f>
        <v/>
      </c>
      <c r="M151" s="7" t="str">
        <f>IF(Source!Z151="","",Source!Z151)</f>
        <v/>
      </c>
      <c r="N151" s="7" t="str">
        <f>IF(Source!AA151="","",Source!AA151)</f>
        <v/>
      </c>
      <c r="O151" s="7" t="str">
        <f>IF(Source!AB151="","",Source!AB151)</f>
        <v/>
      </c>
      <c r="P151" s="7" t="str">
        <f>IF(Source!AC151="","",Source!AC151)</f>
        <v/>
      </c>
      <c r="Q151" s="7" t="str">
        <f>IF(Source!AD151="","",TEXT(Source!AD151,"000000000"))</f>
        <v/>
      </c>
      <c r="R151" s="7" t="str">
        <f>IF(Source!AE151="","","physical AIS type "&amp;Source!AE151)</f>
        <v/>
      </c>
      <c r="S151" s="7" t="str">
        <f>IF(Source!AF151="","",IF(LEN(Source!AF151)=1,UPPER(Source!AF151),"yes"))</f>
        <v/>
      </c>
      <c r="T151" s="7" t="str">
        <f>IF(Source!AG151="","",Source!AG151)</f>
        <v/>
      </c>
      <c r="U151" s="7" t="str">
        <f>IF(Source!AH151="","",YEAR(Source!AH151)&amp;"-"&amp;TEXT(MONTH(Source!AH151),"00")&amp;"-"&amp;TEXT(DAY(Source!AH151),"00"))</f>
        <v/>
      </c>
      <c r="V151" s="7" t="str">
        <f>IF(Source!AI151="","",IF(OR(UPPER(Source!AI151)="YES",UPPER(Source!AI151)="Y"),"visually conspicuous",IF(OR(UPPER(Source!AI151)="NO",UPPER(Source!AI151)="N"),"not visually conspicuous",Source!AI151)))</f>
        <v/>
      </c>
      <c r="W151" s="7" t="str">
        <f>IF(Source!AJ151="","",Source!AJ151)</f>
        <v/>
      </c>
    </row>
    <row r="152">
      <c r="A152" s="7" t="str">
        <f>IF(Source!A152="","",Source!A152&amp;"")</f>
        <v/>
      </c>
      <c r="B152" s="7" t="str">
        <f>TRIM(Source!C152&amp;" "&amp;Source!B152&amp;" "&amp;Source!D152)</f>
        <v/>
      </c>
      <c r="C152" s="7" t="str">
        <f>IF(Source!E152="","",Source!E152)</f>
        <v/>
      </c>
      <c r="D152" s="7" t="str">
        <f>IF(Source!F152="","",ROUND(IF(UPPER(Source!I152)="S",-1,1)*(N(Source!F152)+N(Source!G152)/60+N(Source!H152)/3600),7))</f>
        <v/>
      </c>
      <c r="E152" s="7" t="str">
        <f>IF(Source!J152="","",ROUND(IF(UPPER(Source!M152)="W",-1,1)*(N(Source!J152)+N(Source!K152)/60+N(Source!L152)/3600),7))</f>
        <v/>
      </c>
      <c r="F152" s="7" t="str">
        <f>SUBSTITUTE(TRIM(Source!N152&amp;" "&amp;Source!O152&amp;" "&amp;Source!P152)," ","/")</f>
        <v/>
      </c>
      <c r="G152" s="7" t="str">
        <f>IF(Source!Q152="","",Source!Q152)</f>
        <v/>
      </c>
      <c r="H152" s="7" t="str">
        <f>IF(Source!R152="","",Source!R152)</f>
        <v/>
      </c>
      <c r="I152" s="7" t="str">
        <f>IF(Source!S152&lt;&gt;"",Source!S152,IF(Source!C152&lt;&gt;"",Source!C152,""))</f>
        <v/>
      </c>
      <c r="J152" s="7" t="str">
        <f>TRIM(Source!T152&amp;" "&amp;Source!U152&amp;" "&amp;IF(Source!V152="","",Source!V152&amp;"s")&amp;" "&amp;IF(Source!W152="","",Source!W152&amp;"M"))</f>
        <v/>
      </c>
      <c r="K152" s="7" t="str">
        <f>IF(Source!X152="","",Source!X152)</f>
        <v/>
      </c>
      <c r="L152" s="7" t="str">
        <f>IF(Source!Y152="","",Source!Y152)</f>
        <v/>
      </c>
      <c r="M152" s="7" t="str">
        <f>IF(Source!Z152="","",Source!Z152)</f>
        <v/>
      </c>
      <c r="N152" s="7" t="str">
        <f>IF(Source!AA152="","",Source!AA152)</f>
        <v/>
      </c>
      <c r="O152" s="7" t="str">
        <f>IF(Source!AB152="","",Source!AB152)</f>
        <v/>
      </c>
      <c r="P152" s="7" t="str">
        <f>IF(Source!AC152="","",Source!AC152)</f>
        <v/>
      </c>
      <c r="Q152" s="7" t="str">
        <f>IF(Source!AD152="","",TEXT(Source!AD152,"000000000"))</f>
        <v/>
      </c>
      <c r="R152" s="7" t="str">
        <f>IF(Source!AE152="","","physical AIS type "&amp;Source!AE152)</f>
        <v/>
      </c>
      <c r="S152" s="7" t="str">
        <f>IF(Source!AF152="","",IF(LEN(Source!AF152)=1,UPPER(Source!AF152),"yes"))</f>
        <v/>
      </c>
      <c r="T152" s="7" t="str">
        <f>IF(Source!AG152="","",Source!AG152)</f>
        <v/>
      </c>
      <c r="U152" s="7" t="str">
        <f>IF(Source!AH152="","",YEAR(Source!AH152)&amp;"-"&amp;TEXT(MONTH(Source!AH152),"00")&amp;"-"&amp;TEXT(DAY(Source!AH152),"00"))</f>
        <v/>
      </c>
      <c r="V152" s="7" t="str">
        <f>IF(Source!AI152="","",IF(OR(UPPER(Source!AI152)="YES",UPPER(Source!AI152)="Y"),"visually conspicuous",IF(OR(UPPER(Source!AI152)="NO",UPPER(Source!AI152)="N"),"not visually conspicuous",Source!AI152)))</f>
        <v/>
      </c>
      <c r="W152" s="7" t="str">
        <f>IF(Source!AJ152="","",Source!AJ152)</f>
        <v/>
      </c>
    </row>
    <row r="153">
      <c r="A153" s="7" t="str">
        <f>IF(Source!A153="","",Source!A153&amp;"")</f>
        <v/>
      </c>
      <c r="B153" s="7" t="str">
        <f>TRIM(Source!C153&amp;" "&amp;Source!B153&amp;" "&amp;Source!D153)</f>
        <v/>
      </c>
      <c r="C153" s="7" t="str">
        <f>IF(Source!E153="","",Source!E153)</f>
        <v/>
      </c>
      <c r="D153" s="7" t="str">
        <f>IF(Source!F153="","",ROUND(IF(UPPER(Source!I153)="S",-1,1)*(N(Source!F153)+N(Source!G153)/60+N(Source!H153)/3600),7))</f>
        <v/>
      </c>
      <c r="E153" s="7" t="str">
        <f>IF(Source!J153="","",ROUND(IF(UPPER(Source!M153)="W",-1,1)*(N(Source!J153)+N(Source!K153)/60+N(Source!L153)/3600),7))</f>
        <v/>
      </c>
      <c r="F153" s="7" t="str">
        <f>SUBSTITUTE(TRIM(Source!N153&amp;" "&amp;Source!O153&amp;" "&amp;Source!P153)," ","/")</f>
        <v/>
      </c>
      <c r="G153" s="7" t="str">
        <f>IF(Source!Q153="","",Source!Q153)</f>
        <v/>
      </c>
      <c r="H153" s="7" t="str">
        <f>IF(Source!R153="","",Source!R153)</f>
        <v/>
      </c>
      <c r="I153" s="7" t="str">
        <f>IF(Source!S153&lt;&gt;"",Source!S153,IF(Source!C153&lt;&gt;"",Source!C153,""))</f>
        <v/>
      </c>
      <c r="J153" s="7" t="str">
        <f>TRIM(Source!T153&amp;" "&amp;Source!U153&amp;" "&amp;IF(Source!V153="","",Source!V153&amp;"s")&amp;" "&amp;IF(Source!W153="","",Source!W153&amp;"M"))</f>
        <v/>
      </c>
      <c r="K153" s="7" t="str">
        <f>IF(Source!X153="","",Source!X153)</f>
        <v/>
      </c>
      <c r="L153" s="7" t="str">
        <f>IF(Source!Y153="","",Source!Y153)</f>
        <v/>
      </c>
      <c r="M153" s="7" t="str">
        <f>IF(Source!Z153="","",Source!Z153)</f>
        <v/>
      </c>
      <c r="N153" s="7" t="str">
        <f>IF(Source!AA153="","",Source!AA153)</f>
        <v/>
      </c>
      <c r="O153" s="7" t="str">
        <f>IF(Source!AB153="","",Source!AB153)</f>
        <v/>
      </c>
      <c r="P153" s="7" t="str">
        <f>IF(Source!AC153="","",Source!AC153)</f>
        <v/>
      </c>
      <c r="Q153" s="7" t="str">
        <f>IF(Source!AD153="","",TEXT(Source!AD153,"000000000"))</f>
        <v/>
      </c>
      <c r="R153" s="7" t="str">
        <f>IF(Source!AE153="","","physical AIS type "&amp;Source!AE153)</f>
        <v/>
      </c>
      <c r="S153" s="7" t="str">
        <f>IF(Source!AF153="","",IF(LEN(Source!AF153)=1,UPPER(Source!AF153),"yes"))</f>
        <v/>
      </c>
      <c r="T153" s="7" t="str">
        <f>IF(Source!AG153="","",Source!AG153)</f>
        <v/>
      </c>
      <c r="U153" s="7" t="str">
        <f>IF(Source!AH153="","",YEAR(Source!AH153)&amp;"-"&amp;TEXT(MONTH(Source!AH153),"00")&amp;"-"&amp;TEXT(DAY(Source!AH153),"00"))</f>
        <v/>
      </c>
      <c r="V153" s="7" t="str">
        <f>IF(Source!AI153="","",IF(OR(UPPER(Source!AI153)="YES",UPPER(Source!AI153)="Y"),"visually conspicuous",IF(OR(UPPER(Source!AI153)="NO",UPPER(Source!AI153)="N"),"not visually conspicuous",Source!AI153)))</f>
        <v/>
      </c>
      <c r="W153" s="7" t="str">
        <f>IF(Source!AJ153="","",Source!AJ153)</f>
        <v/>
      </c>
    </row>
    <row r="154">
      <c r="A154" s="7" t="str">
        <f>IF(Source!A154="","",Source!A154&amp;"")</f>
        <v/>
      </c>
      <c r="B154" s="7" t="str">
        <f>TRIM(Source!C154&amp;" "&amp;Source!B154&amp;" "&amp;Source!D154)</f>
        <v/>
      </c>
      <c r="C154" s="7" t="str">
        <f>IF(Source!E154="","",Source!E154)</f>
        <v/>
      </c>
      <c r="D154" s="7" t="str">
        <f>IF(Source!F154="","",ROUND(IF(UPPER(Source!I154)="S",-1,1)*(N(Source!F154)+N(Source!G154)/60+N(Source!H154)/3600),7))</f>
        <v/>
      </c>
      <c r="E154" s="7" t="str">
        <f>IF(Source!J154="","",ROUND(IF(UPPER(Source!M154)="W",-1,1)*(N(Source!J154)+N(Source!K154)/60+N(Source!L154)/3600),7))</f>
        <v/>
      </c>
      <c r="F154" s="7" t="str">
        <f>SUBSTITUTE(TRIM(Source!N154&amp;" "&amp;Source!O154&amp;" "&amp;Source!P154)," ","/")</f>
        <v/>
      </c>
      <c r="G154" s="7" t="str">
        <f>IF(Source!Q154="","",Source!Q154)</f>
        <v/>
      </c>
      <c r="H154" s="7" t="str">
        <f>IF(Source!R154="","",Source!R154)</f>
        <v/>
      </c>
      <c r="I154" s="7" t="str">
        <f>IF(Source!S154&lt;&gt;"",Source!S154,IF(Source!C154&lt;&gt;"",Source!C154,""))</f>
        <v/>
      </c>
      <c r="J154" s="7" t="str">
        <f>TRIM(Source!T154&amp;" "&amp;Source!U154&amp;" "&amp;IF(Source!V154="","",Source!V154&amp;"s")&amp;" "&amp;IF(Source!W154="","",Source!W154&amp;"M"))</f>
        <v/>
      </c>
      <c r="K154" s="7" t="str">
        <f>IF(Source!X154="","",Source!X154)</f>
        <v/>
      </c>
      <c r="L154" s="7" t="str">
        <f>IF(Source!Y154="","",Source!Y154)</f>
        <v/>
      </c>
      <c r="M154" s="7" t="str">
        <f>IF(Source!Z154="","",Source!Z154)</f>
        <v/>
      </c>
      <c r="N154" s="7" t="str">
        <f>IF(Source!AA154="","",Source!AA154)</f>
        <v/>
      </c>
      <c r="O154" s="7" t="str">
        <f>IF(Source!AB154="","",Source!AB154)</f>
        <v/>
      </c>
      <c r="P154" s="7" t="str">
        <f>IF(Source!AC154="","",Source!AC154)</f>
        <v/>
      </c>
      <c r="Q154" s="7" t="str">
        <f>IF(Source!AD154="","",TEXT(Source!AD154,"000000000"))</f>
        <v/>
      </c>
      <c r="R154" s="7" t="str">
        <f>IF(Source!AE154="","","physical AIS type "&amp;Source!AE154)</f>
        <v/>
      </c>
      <c r="S154" s="7" t="str">
        <f>IF(Source!AF154="","",IF(LEN(Source!AF154)=1,UPPER(Source!AF154),"yes"))</f>
        <v/>
      </c>
      <c r="T154" s="7" t="str">
        <f>IF(Source!AG154="","",Source!AG154)</f>
        <v/>
      </c>
      <c r="U154" s="7" t="str">
        <f>IF(Source!AH154="","",YEAR(Source!AH154)&amp;"-"&amp;TEXT(MONTH(Source!AH154),"00")&amp;"-"&amp;TEXT(DAY(Source!AH154),"00"))</f>
        <v/>
      </c>
      <c r="V154" s="7" t="str">
        <f>IF(Source!AI154="","",IF(OR(UPPER(Source!AI154)="YES",UPPER(Source!AI154)="Y"),"visually conspicuous",IF(OR(UPPER(Source!AI154)="NO",UPPER(Source!AI154)="N"),"not visually conspicuous",Source!AI154)))</f>
        <v/>
      </c>
      <c r="W154" s="7" t="str">
        <f>IF(Source!AJ154="","",Source!AJ154)</f>
        <v/>
      </c>
    </row>
    <row r="155">
      <c r="A155" s="7" t="str">
        <f>IF(Source!A155="","",Source!A155&amp;"")</f>
        <v/>
      </c>
      <c r="B155" s="7" t="str">
        <f>TRIM(Source!C155&amp;" "&amp;Source!B155&amp;" "&amp;Source!D155)</f>
        <v/>
      </c>
      <c r="C155" s="7" t="str">
        <f>IF(Source!E155="","",Source!E155)</f>
        <v/>
      </c>
      <c r="D155" s="7" t="str">
        <f>IF(Source!F155="","",ROUND(IF(UPPER(Source!I155)="S",-1,1)*(N(Source!F155)+N(Source!G155)/60+N(Source!H155)/3600),7))</f>
        <v/>
      </c>
      <c r="E155" s="7" t="str">
        <f>IF(Source!J155="","",ROUND(IF(UPPER(Source!M155)="W",-1,1)*(N(Source!J155)+N(Source!K155)/60+N(Source!L155)/3600),7))</f>
        <v/>
      </c>
      <c r="F155" s="7" t="str">
        <f>SUBSTITUTE(TRIM(Source!N155&amp;" "&amp;Source!O155&amp;" "&amp;Source!P155)," ","/")</f>
        <v/>
      </c>
      <c r="G155" s="7" t="str">
        <f>IF(Source!Q155="","",Source!Q155)</f>
        <v/>
      </c>
      <c r="H155" s="7" t="str">
        <f>IF(Source!R155="","",Source!R155)</f>
        <v/>
      </c>
      <c r="I155" s="7" t="str">
        <f>IF(Source!S155&lt;&gt;"",Source!S155,IF(Source!C155&lt;&gt;"",Source!C155,""))</f>
        <v/>
      </c>
      <c r="J155" s="7" t="str">
        <f>TRIM(Source!T155&amp;" "&amp;Source!U155&amp;" "&amp;IF(Source!V155="","",Source!V155&amp;"s")&amp;" "&amp;IF(Source!W155="","",Source!W155&amp;"M"))</f>
        <v/>
      </c>
      <c r="K155" s="7" t="str">
        <f>IF(Source!X155="","",Source!X155)</f>
        <v/>
      </c>
      <c r="L155" s="7" t="str">
        <f>IF(Source!Y155="","",Source!Y155)</f>
        <v/>
      </c>
      <c r="M155" s="7" t="str">
        <f>IF(Source!Z155="","",Source!Z155)</f>
        <v/>
      </c>
      <c r="N155" s="7" t="str">
        <f>IF(Source!AA155="","",Source!AA155)</f>
        <v/>
      </c>
      <c r="O155" s="7" t="str">
        <f>IF(Source!AB155="","",Source!AB155)</f>
        <v/>
      </c>
      <c r="P155" s="7" t="str">
        <f>IF(Source!AC155="","",Source!AC155)</f>
        <v/>
      </c>
      <c r="Q155" s="7" t="str">
        <f>IF(Source!AD155="","",TEXT(Source!AD155,"000000000"))</f>
        <v/>
      </c>
      <c r="R155" s="7" t="str">
        <f>IF(Source!AE155="","","physical AIS type "&amp;Source!AE155)</f>
        <v/>
      </c>
      <c r="S155" s="7" t="str">
        <f>IF(Source!AF155="","",IF(LEN(Source!AF155)=1,UPPER(Source!AF155),"yes"))</f>
        <v/>
      </c>
      <c r="T155" s="7" t="str">
        <f>IF(Source!AG155="","",Source!AG155)</f>
        <v/>
      </c>
      <c r="U155" s="7" t="str">
        <f>IF(Source!AH155="","",YEAR(Source!AH155)&amp;"-"&amp;TEXT(MONTH(Source!AH155),"00")&amp;"-"&amp;TEXT(DAY(Source!AH155),"00"))</f>
        <v/>
      </c>
      <c r="V155" s="7" t="str">
        <f>IF(Source!AI155="","",IF(OR(UPPER(Source!AI155)="YES",UPPER(Source!AI155)="Y"),"visually conspicuous",IF(OR(UPPER(Source!AI155)="NO",UPPER(Source!AI155)="N"),"not visually conspicuous",Source!AI155)))</f>
        <v/>
      </c>
      <c r="W155" s="7" t="str">
        <f>IF(Source!AJ155="","",Source!AJ155)</f>
        <v/>
      </c>
    </row>
    <row r="156">
      <c r="A156" s="7" t="str">
        <f>IF(Source!A156="","",Source!A156&amp;"")</f>
        <v/>
      </c>
      <c r="B156" s="7" t="str">
        <f>TRIM(Source!C156&amp;" "&amp;Source!B156&amp;" "&amp;Source!D156)</f>
        <v/>
      </c>
      <c r="C156" s="7" t="str">
        <f>IF(Source!E156="","",Source!E156)</f>
        <v/>
      </c>
      <c r="D156" s="7" t="str">
        <f>IF(Source!F156="","",ROUND(IF(UPPER(Source!I156)="S",-1,1)*(N(Source!F156)+N(Source!G156)/60+N(Source!H156)/3600),7))</f>
        <v/>
      </c>
      <c r="E156" s="7" t="str">
        <f>IF(Source!J156="","",ROUND(IF(UPPER(Source!M156)="W",-1,1)*(N(Source!J156)+N(Source!K156)/60+N(Source!L156)/3600),7))</f>
        <v/>
      </c>
      <c r="F156" s="7" t="str">
        <f>SUBSTITUTE(TRIM(Source!N156&amp;" "&amp;Source!O156&amp;" "&amp;Source!P156)," ","/")</f>
        <v/>
      </c>
      <c r="G156" s="7" t="str">
        <f>IF(Source!Q156="","",Source!Q156)</f>
        <v/>
      </c>
      <c r="H156" s="7" t="str">
        <f>IF(Source!R156="","",Source!R156)</f>
        <v/>
      </c>
      <c r="I156" s="7" t="str">
        <f>IF(Source!S156&lt;&gt;"",Source!S156,IF(Source!C156&lt;&gt;"",Source!C156,""))</f>
        <v/>
      </c>
      <c r="J156" s="7" t="str">
        <f>TRIM(Source!T156&amp;" "&amp;Source!U156&amp;" "&amp;IF(Source!V156="","",Source!V156&amp;"s")&amp;" "&amp;IF(Source!W156="","",Source!W156&amp;"M"))</f>
        <v/>
      </c>
      <c r="K156" s="7" t="str">
        <f>IF(Source!X156="","",Source!X156)</f>
        <v/>
      </c>
      <c r="L156" s="7" t="str">
        <f>IF(Source!Y156="","",Source!Y156)</f>
        <v/>
      </c>
      <c r="M156" s="7" t="str">
        <f>IF(Source!Z156="","",Source!Z156)</f>
        <v/>
      </c>
      <c r="N156" s="7" t="str">
        <f>IF(Source!AA156="","",Source!AA156)</f>
        <v/>
      </c>
      <c r="O156" s="7" t="str">
        <f>IF(Source!AB156="","",Source!AB156)</f>
        <v/>
      </c>
      <c r="P156" s="7" t="str">
        <f>IF(Source!AC156="","",Source!AC156)</f>
        <v/>
      </c>
      <c r="Q156" s="7" t="str">
        <f>IF(Source!AD156="","",TEXT(Source!AD156,"000000000"))</f>
        <v/>
      </c>
      <c r="R156" s="7" t="str">
        <f>IF(Source!AE156="","","physical AIS type "&amp;Source!AE156)</f>
        <v/>
      </c>
      <c r="S156" s="7" t="str">
        <f>IF(Source!AF156="","",IF(LEN(Source!AF156)=1,UPPER(Source!AF156),"yes"))</f>
        <v/>
      </c>
      <c r="T156" s="7" t="str">
        <f>IF(Source!AG156="","",Source!AG156)</f>
        <v/>
      </c>
      <c r="U156" s="7" t="str">
        <f>IF(Source!AH156="","",YEAR(Source!AH156)&amp;"-"&amp;TEXT(MONTH(Source!AH156),"00")&amp;"-"&amp;TEXT(DAY(Source!AH156),"00"))</f>
        <v/>
      </c>
      <c r="V156" s="7" t="str">
        <f>IF(Source!AI156="","",IF(OR(UPPER(Source!AI156)="YES",UPPER(Source!AI156)="Y"),"visually conspicuous",IF(OR(UPPER(Source!AI156)="NO",UPPER(Source!AI156)="N"),"not visually conspicuous",Source!AI156)))</f>
        <v/>
      </c>
      <c r="W156" s="7" t="str">
        <f>IF(Source!AJ156="","",Source!AJ156)</f>
        <v/>
      </c>
    </row>
    <row r="157">
      <c r="A157" s="7" t="str">
        <f>IF(Source!A157="","",Source!A157&amp;"")</f>
        <v/>
      </c>
      <c r="B157" s="7" t="str">
        <f>TRIM(Source!C157&amp;" "&amp;Source!B157&amp;" "&amp;Source!D157)</f>
        <v/>
      </c>
      <c r="C157" s="7" t="str">
        <f>IF(Source!E157="","",Source!E157)</f>
        <v/>
      </c>
      <c r="D157" s="7" t="str">
        <f>IF(Source!F157="","",ROUND(IF(UPPER(Source!I157)="S",-1,1)*(N(Source!F157)+N(Source!G157)/60+N(Source!H157)/3600),7))</f>
        <v/>
      </c>
      <c r="E157" s="7" t="str">
        <f>IF(Source!J157="","",ROUND(IF(UPPER(Source!M157)="W",-1,1)*(N(Source!J157)+N(Source!K157)/60+N(Source!L157)/3600),7))</f>
        <v/>
      </c>
      <c r="F157" s="7" t="str">
        <f>SUBSTITUTE(TRIM(Source!N157&amp;" "&amp;Source!O157&amp;" "&amp;Source!P157)," ","/")</f>
        <v/>
      </c>
      <c r="G157" s="7" t="str">
        <f>IF(Source!Q157="","",Source!Q157)</f>
        <v/>
      </c>
      <c r="H157" s="7" t="str">
        <f>IF(Source!R157="","",Source!R157)</f>
        <v/>
      </c>
      <c r="I157" s="7" t="str">
        <f>IF(Source!S157&lt;&gt;"",Source!S157,IF(Source!C157&lt;&gt;"",Source!C157,""))</f>
        <v/>
      </c>
      <c r="J157" s="7" t="str">
        <f>TRIM(Source!T157&amp;" "&amp;Source!U157&amp;" "&amp;IF(Source!V157="","",Source!V157&amp;"s")&amp;" "&amp;IF(Source!W157="","",Source!W157&amp;"M"))</f>
        <v/>
      </c>
      <c r="K157" s="7" t="str">
        <f>IF(Source!X157="","",Source!X157)</f>
        <v/>
      </c>
      <c r="L157" s="7" t="str">
        <f>IF(Source!Y157="","",Source!Y157)</f>
        <v/>
      </c>
      <c r="M157" s="7" t="str">
        <f>IF(Source!Z157="","",Source!Z157)</f>
        <v/>
      </c>
      <c r="N157" s="7" t="str">
        <f>IF(Source!AA157="","",Source!AA157)</f>
        <v/>
      </c>
      <c r="O157" s="7" t="str">
        <f>IF(Source!AB157="","",Source!AB157)</f>
        <v/>
      </c>
      <c r="P157" s="7" t="str">
        <f>IF(Source!AC157="","",Source!AC157)</f>
        <v/>
      </c>
      <c r="Q157" s="7" t="str">
        <f>IF(Source!AD157="","",TEXT(Source!AD157,"000000000"))</f>
        <v/>
      </c>
      <c r="R157" s="7" t="str">
        <f>IF(Source!AE157="","","physical AIS type "&amp;Source!AE157)</f>
        <v/>
      </c>
      <c r="S157" s="7" t="str">
        <f>IF(Source!AF157="","",IF(LEN(Source!AF157)=1,UPPER(Source!AF157),"yes"))</f>
        <v/>
      </c>
      <c r="T157" s="7" t="str">
        <f>IF(Source!AG157="","",Source!AG157)</f>
        <v/>
      </c>
      <c r="U157" s="7" t="str">
        <f>IF(Source!AH157="","",YEAR(Source!AH157)&amp;"-"&amp;TEXT(MONTH(Source!AH157),"00")&amp;"-"&amp;TEXT(DAY(Source!AH157),"00"))</f>
        <v/>
      </c>
      <c r="V157" s="7" t="str">
        <f>IF(Source!AI157="","",IF(OR(UPPER(Source!AI157)="YES",UPPER(Source!AI157)="Y"),"visually conspicuous",IF(OR(UPPER(Source!AI157)="NO",UPPER(Source!AI157)="N"),"not visually conspicuous",Source!AI157)))</f>
        <v/>
      </c>
      <c r="W157" s="7" t="str">
        <f>IF(Source!AJ157="","",Source!AJ157)</f>
        <v/>
      </c>
    </row>
    <row r="158">
      <c r="A158" s="7" t="str">
        <f>IF(Source!A158="","",Source!A158&amp;"")</f>
        <v/>
      </c>
      <c r="B158" s="7" t="str">
        <f>TRIM(Source!C158&amp;" "&amp;Source!B158&amp;" "&amp;Source!D158)</f>
        <v/>
      </c>
      <c r="C158" s="7" t="str">
        <f>IF(Source!E158="","",Source!E158)</f>
        <v/>
      </c>
      <c r="D158" s="7" t="str">
        <f>IF(Source!F158="","",ROUND(IF(UPPER(Source!I158)="S",-1,1)*(N(Source!F158)+N(Source!G158)/60+N(Source!H158)/3600),7))</f>
        <v/>
      </c>
      <c r="E158" s="7" t="str">
        <f>IF(Source!J158="","",ROUND(IF(UPPER(Source!M158)="W",-1,1)*(N(Source!J158)+N(Source!K158)/60+N(Source!L158)/3600),7))</f>
        <v/>
      </c>
      <c r="F158" s="7" t="str">
        <f>SUBSTITUTE(TRIM(Source!N158&amp;" "&amp;Source!O158&amp;" "&amp;Source!P158)," ","/")</f>
        <v/>
      </c>
      <c r="G158" s="7" t="str">
        <f>IF(Source!Q158="","",Source!Q158)</f>
        <v/>
      </c>
      <c r="H158" s="7" t="str">
        <f>IF(Source!R158="","",Source!R158)</f>
        <v/>
      </c>
      <c r="I158" s="7" t="str">
        <f>IF(Source!S158&lt;&gt;"",Source!S158,IF(Source!C158&lt;&gt;"",Source!C158,""))</f>
        <v/>
      </c>
      <c r="J158" s="7" t="str">
        <f>TRIM(Source!T158&amp;" "&amp;Source!U158&amp;" "&amp;IF(Source!V158="","",Source!V158&amp;"s")&amp;" "&amp;IF(Source!W158="","",Source!W158&amp;"M"))</f>
        <v/>
      </c>
      <c r="K158" s="7" t="str">
        <f>IF(Source!X158="","",Source!X158)</f>
        <v/>
      </c>
      <c r="L158" s="7" t="str">
        <f>IF(Source!Y158="","",Source!Y158)</f>
        <v/>
      </c>
      <c r="M158" s="7" t="str">
        <f>IF(Source!Z158="","",Source!Z158)</f>
        <v/>
      </c>
      <c r="N158" s="7" t="str">
        <f>IF(Source!AA158="","",Source!AA158)</f>
        <v/>
      </c>
      <c r="O158" s="7" t="str">
        <f>IF(Source!AB158="","",Source!AB158)</f>
        <v/>
      </c>
      <c r="P158" s="7" t="str">
        <f>IF(Source!AC158="","",Source!AC158)</f>
        <v/>
      </c>
      <c r="Q158" s="7" t="str">
        <f>IF(Source!AD158="","",TEXT(Source!AD158,"000000000"))</f>
        <v/>
      </c>
      <c r="R158" s="7" t="str">
        <f>IF(Source!AE158="","","physical AIS type "&amp;Source!AE158)</f>
        <v/>
      </c>
      <c r="S158" s="7" t="str">
        <f>IF(Source!AF158="","",IF(LEN(Source!AF158)=1,UPPER(Source!AF158),"yes"))</f>
        <v/>
      </c>
      <c r="T158" s="7" t="str">
        <f>IF(Source!AG158="","",Source!AG158)</f>
        <v/>
      </c>
      <c r="U158" s="7" t="str">
        <f>IF(Source!AH158="","",YEAR(Source!AH158)&amp;"-"&amp;TEXT(MONTH(Source!AH158),"00")&amp;"-"&amp;TEXT(DAY(Source!AH158),"00"))</f>
        <v/>
      </c>
      <c r="V158" s="7" t="str">
        <f>IF(Source!AI158="","",IF(OR(UPPER(Source!AI158)="YES",UPPER(Source!AI158)="Y"),"visually conspicuous",IF(OR(UPPER(Source!AI158)="NO",UPPER(Source!AI158)="N"),"not visually conspicuous",Source!AI158)))</f>
        <v/>
      </c>
      <c r="W158" s="7" t="str">
        <f>IF(Source!AJ158="","",Source!AJ158)</f>
        <v/>
      </c>
    </row>
    <row r="159">
      <c r="A159" s="7" t="str">
        <f>IF(Source!A159="","",Source!A159&amp;"")</f>
        <v/>
      </c>
      <c r="B159" s="7" t="str">
        <f>TRIM(Source!C159&amp;" "&amp;Source!B159&amp;" "&amp;Source!D159)</f>
        <v/>
      </c>
      <c r="C159" s="7" t="str">
        <f>IF(Source!E159="","",Source!E159)</f>
        <v/>
      </c>
      <c r="D159" s="7" t="str">
        <f>IF(Source!F159="","",ROUND(IF(UPPER(Source!I159)="S",-1,1)*(N(Source!F159)+N(Source!G159)/60+N(Source!H159)/3600),7))</f>
        <v/>
      </c>
      <c r="E159" s="7" t="str">
        <f>IF(Source!J159="","",ROUND(IF(UPPER(Source!M159)="W",-1,1)*(N(Source!J159)+N(Source!K159)/60+N(Source!L159)/3600),7))</f>
        <v/>
      </c>
      <c r="F159" s="7" t="str">
        <f>SUBSTITUTE(TRIM(Source!N159&amp;" "&amp;Source!O159&amp;" "&amp;Source!P159)," ","/")</f>
        <v/>
      </c>
      <c r="G159" s="7" t="str">
        <f>IF(Source!Q159="","",Source!Q159)</f>
        <v/>
      </c>
      <c r="H159" s="7" t="str">
        <f>IF(Source!R159="","",Source!R159)</f>
        <v/>
      </c>
      <c r="I159" s="7" t="str">
        <f>IF(Source!S159&lt;&gt;"",Source!S159,IF(Source!C159&lt;&gt;"",Source!C159,""))</f>
        <v/>
      </c>
      <c r="J159" s="7" t="str">
        <f>TRIM(Source!T159&amp;" "&amp;Source!U159&amp;" "&amp;IF(Source!V159="","",Source!V159&amp;"s")&amp;" "&amp;IF(Source!W159="","",Source!W159&amp;"M"))</f>
        <v/>
      </c>
      <c r="K159" s="7" t="str">
        <f>IF(Source!X159="","",Source!X159)</f>
        <v/>
      </c>
      <c r="L159" s="7" t="str">
        <f>IF(Source!Y159="","",Source!Y159)</f>
        <v/>
      </c>
      <c r="M159" s="7" t="str">
        <f>IF(Source!Z159="","",Source!Z159)</f>
        <v/>
      </c>
      <c r="N159" s="7" t="str">
        <f>IF(Source!AA159="","",Source!AA159)</f>
        <v/>
      </c>
      <c r="O159" s="7" t="str">
        <f>IF(Source!AB159="","",Source!AB159)</f>
        <v/>
      </c>
      <c r="P159" s="7" t="str">
        <f>IF(Source!AC159="","",Source!AC159)</f>
        <v/>
      </c>
      <c r="Q159" s="7" t="str">
        <f>IF(Source!AD159="","",TEXT(Source!AD159,"000000000"))</f>
        <v/>
      </c>
      <c r="R159" s="7" t="str">
        <f>IF(Source!AE159="","","physical AIS type "&amp;Source!AE159)</f>
        <v/>
      </c>
      <c r="S159" s="7" t="str">
        <f>IF(Source!AF159="","",IF(LEN(Source!AF159)=1,UPPER(Source!AF159),"yes"))</f>
        <v/>
      </c>
      <c r="T159" s="7" t="str">
        <f>IF(Source!AG159="","",Source!AG159)</f>
        <v/>
      </c>
      <c r="U159" s="7" t="str">
        <f>IF(Source!AH159="","",YEAR(Source!AH159)&amp;"-"&amp;TEXT(MONTH(Source!AH159),"00")&amp;"-"&amp;TEXT(DAY(Source!AH159),"00"))</f>
        <v/>
      </c>
      <c r="V159" s="7" t="str">
        <f>IF(Source!AI159="","",IF(OR(UPPER(Source!AI159)="YES",UPPER(Source!AI159)="Y"),"visually conspicuous",IF(OR(UPPER(Source!AI159)="NO",UPPER(Source!AI159)="N"),"not visually conspicuous",Source!AI159)))</f>
        <v/>
      </c>
      <c r="W159" s="7" t="str">
        <f>IF(Source!AJ159="","",Source!AJ159)</f>
        <v/>
      </c>
    </row>
    <row r="160">
      <c r="A160" s="7" t="str">
        <f>IF(Source!A160="","",Source!A160&amp;"")</f>
        <v/>
      </c>
      <c r="B160" s="7" t="str">
        <f>TRIM(Source!C160&amp;" "&amp;Source!B160&amp;" "&amp;Source!D160)</f>
        <v/>
      </c>
      <c r="C160" s="7" t="str">
        <f>IF(Source!E160="","",Source!E160)</f>
        <v/>
      </c>
      <c r="D160" s="7" t="str">
        <f>IF(Source!F160="","",ROUND(IF(UPPER(Source!I160)="S",-1,1)*(N(Source!F160)+N(Source!G160)/60+N(Source!H160)/3600),7))</f>
        <v/>
      </c>
      <c r="E160" s="7" t="str">
        <f>IF(Source!J160="","",ROUND(IF(UPPER(Source!M160)="W",-1,1)*(N(Source!J160)+N(Source!K160)/60+N(Source!L160)/3600),7))</f>
        <v/>
      </c>
      <c r="F160" s="7" t="str">
        <f>SUBSTITUTE(TRIM(Source!N160&amp;" "&amp;Source!O160&amp;" "&amp;Source!P160)," ","/")</f>
        <v/>
      </c>
      <c r="G160" s="7" t="str">
        <f>IF(Source!Q160="","",Source!Q160)</f>
        <v/>
      </c>
      <c r="H160" s="7" t="str">
        <f>IF(Source!R160="","",Source!R160)</f>
        <v/>
      </c>
      <c r="I160" s="7" t="str">
        <f>IF(Source!S160&lt;&gt;"",Source!S160,IF(Source!C160&lt;&gt;"",Source!C160,""))</f>
        <v/>
      </c>
      <c r="J160" s="7" t="str">
        <f>TRIM(Source!T160&amp;" "&amp;Source!U160&amp;" "&amp;IF(Source!V160="","",Source!V160&amp;"s")&amp;" "&amp;IF(Source!W160="","",Source!W160&amp;"M"))</f>
        <v/>
      </c>
      <c r="K160" s="7" t="str">
        <f>IF(Source!X160="","",Source!X160)</f>
        <v/>
      </c>
      <c r="L160" s="7" t="str">
        <f>IF(Source!Y160="","",Source!Y160)</f>
        <v/>
      </c>
      <c r="M160" s="7" t="str">
        <f>IF(Source!Z160="","",Source!Z160)</f>
        <v/>
      </c>
      <c r="N160" s="7" t="str">
        <f>IF(Source!AA160="","",Source!AA160)</f>
        <v/>
      </c>
      <c r="O160" s="7" t="str">
        <f>IF(Source!AB160="","",Source!AB160)</f>
        <v/>
      </c>
      <c r="P160" s="7" t="str">
        <f>IF(Source!AC160="","",Source!AC160)</f>
        <v/>
      </c>
      <c r="Q160" s="7" t="str">
        <f>IF(Source!AD160="","",TEXT(Source!AD160,"000000000"))</f>
        <v/>
      </c>
      <c r="R160" s="7" t="str">
        <f>IF(Source!AE160="","","physical AIS type "&amp;Source!AE160)</f>
        <v/>
      </c>
      <c r="S160" s="7" t="str">
        <f>IF(Source!AF160="","",IF(LEN(Source!AF160)=1,UPPER(Source!AF160),"yes"))</f>
        <v/>
      </c>
      <c r="T160" s="7" t="str">
        <f>IF(Source!AG160="","",Source!AG160)</f>
        <v/>
      </c>
      <c r="U160" s="7" t="str">
        <f>IF(Source!AH160="","",YEAR(Source!AH160)&amp;"-"&amp;TEXT(MONTH(Source!AH160),"00")&amp;"-"&amp;TEXT(DAY(Source!AH160),"00"))</f>
        <v/>
      </c>
      <c r="V160" s="7" t="str">
        <f>IF(Source!AI160="","",IF(OR(UPPER(Source!AI160)="YES",UPPER(Source!AI160)="Y"),"visually conspicuous",IF(OR(UPPER(Source!AI160)="NO",UPPER(Source!AI160)="N"),"not visually conspicuous",Source!AI160)))</f>
        <v/>
      </c>
      <c r="W160" s="7" t="str">
        <f>IF(Source!AJ160="","",Source!AJ160)</f>
        <v/>
      </c>
    </row>
    <row r="161">
      <c r="A161" s="7" t="str">
        <f>IF(Source!A161="","",Source!A161&amp;"")</f>
        <v/>
      </c>
      <c r="B161" s="7" t="str">
        <f>TRIM(Source!C161&amp;" "&amp;Source!B161&amp;" "&amp;Source!D161)</f>
        <v/>
      </c>
      <c r="C161" s="7" t="str">
        <f>IF(Source!E161="","",Source!E161)</f>
        <v/>
      </c>
      <c r="D161" s="7" t="str">
        <f>IF(Source!F161="","",ROUND(IF(UPPER(Source!I161)="S",-1,1)*(N(Source!F161)+N(Source!G161)/60+N(Source!H161)/3600),7))</f>
        <v/>
      </c>
      <c r="E161" s="7" t="str">
        <f>IF(Source!J161="","",ROUND(IF(UPPER(Source!M161)="W",-1,1)*(N(Source!J161)+N(Source!K161)/60+N(Source!L161)/3600),7))</f>
        <v/>
      </c>
      <c r="F161" s="7" t="str">
        <f>SUBSTITUTE(TRIM(Source!N161&amp;" "&amp;Source!O161&amp;" "&amp;Source!P161)," ","/")</f>
        <v/>
      </c>
      <c r="G161" s="7" t="str">
        <f>IF(Source!Q161="","",Source!Q161)</f>
        <v/>
      </c>
      <c r="H161" s="7" t="str">
        <f>IF(Source!R161="","",Source!R161)</f>
        <v/>
      </c>
      <c r="I161" s="7" t="str">
        <f>IF(Source!S161&lt;&gt;"",Source!S161,IF(Source!C161&lt;&gt;"",Source!C161,""))</f>
        <v/>
      </c>
      <c r="J161" s="7" t="str">
        <f>TRIM(Source!T161&amp;" "&amp;Source!U161&amp;" "&amp;IF(Source!V161="","",Source!V161&amp;"s")&amp;" "&amp;IF(Source!W161="","",Source!W161&amp;"M"))</f>
        <v/>
      </c>
      <c r="K161" s="7" t="str">
        <f>IF(Source!X161="","",Source!X161)</f>
        <v/>
      </c>
      <c r="L161" s="7" t="str">
        <f>IF(Source!Y161="","",Source!Y161)</f>
        <v/>
      </c>
      <c r="M161" s="7" t="str">
        <f>IF(Source!Z161="","",Source!Z161)</f>
        <v/>
      </c>
      <c r="N161" s="7" t="str">
        <f>IF(Source!AA161="","",Source!AA161)</f>
        <v/>
      </c>
      <c r="O161" s="7" t="str">
        <f>IF(Source!AB161="","",Source!AB161)</f>
        <v/>
      </c>
      <c r="P161" s="7" t="str">
        <f>IF(Source!AC161="","",Source!AC161)</f>
        <v/>
      </c>
      <c r="Q161" s="7" t="str">
        <f>IF(Source!AD161="","",TEXT(Source!AD161,"000000000"))</f>
        <v/>
      </c>
      <c r="R161" s="7" t="str">
        <f>IF(Source!AE161="","","physical AIS type "&amp;Source!AE161)</f>
        <v/>
      </c>
      <c r="S161" s="7" t="str">
        <f>IF(Source!AF161="","",IF(LEN(Source!AF161)=1,UPPER(Source!AF161),"yes"))</f>
        <v/>
      </c>
      <c r="T161" s="7" t="str">
        <f>IF(Source!AG161="","",Source!AG161)</f>
        <v/>
      </c>
      <c r="U161" s="7" t="str">
        <f>IF(Source!AH161="","",YEAR(Source!AH161)&amp;"-"&amp;TEXT(MONTH(Source!AH161),"00")&amp;"-"&amp;TEXT(DAY(Source!AH161),"00"))</f>
        <v/>
      </c>
      <c r="V161" s="7" t="str">
        <f>IF(Source!AI161="","",IF(OR(UPPER(Source!AI161)="YES",UPPER(Source!AI161)="Y"),"visually conspicuous",IF(OR(UPPER(Source!AI161)="NO",UPPER(Source!AI161)="N"),"not visually conspicuous",Source!AI161)))</f>
        <v/>
      </c>
      <c r="W161" s="7" t="str">
        <f>IF(Source!AJ161="","",Source!AJ161)</f>
        <v/>
      </c>
    </row>
    <row r="162">
      <c r="A162" s="7" t="str">
        <f>IF(Source!A162="","",Source!A162&amp;"")</f>
        <v/>
      </c>
      <c r="B162" s="7" t="str">
        <f>TRIM(Source!C162&amp;" "&amp;Source!B162&amp;" "&amp;Source!D162)</f>
        <v/>
      </c>
      <c r="C162" s="7" t="str">
        <f>IF(Source!E162="","",Source!E162)</f>
        <v/>
      </c>
      <c r="D162" s="7" t="str">
        <f>IF(Source!F162="","",ROUND(IF(UPPER(Source!I162)="S",-1,1)*(N(Source!F162)+N(Source!G162)/60+N(Source!H162)/3600),7))</f>
        <v/>
      </c>
      <c r="E162" s="7" t="str">
        <f>IF(Source!J162="","",ROUND(IF(UPPER(Source!M162)="W",-1,1)*(N(Source!J162)+N(Source!K162)/60+N(Source!L162)/3600),7))</f>
        <v/>
      </c>
      <c r="F162" s="7" t="str">
        <f>SUBSTITUTE(TRIM(Source!N162&amp;" "&amp;Source!O162&amp;" "&amp;Source!P162)," ","/")</f>
        <v/>
      </c>
      <c r="G162" s="7" t="str">
        <f>IF(Source!Q162="","",Source!Q162)</f>
        <v/>
      </c>
      <c r="H162" s="7" t="str">
        <f>IF(Source!R162="","",Source!R162)</f>
        <v/>
      </c>
      <c r="I162" s="7" t="str">
        <f>IF(Source!S162&lt;&gt;"",Source!S162,IF(Source!C162&lt;&gt;"",Source!C162,""))</f>
        <v/>
      </c>
      <c r="J162" s="7" t="str">
        <f>TRIM(Source!T162&amp;" "&amp;Source!U162&amp;" "&amp;IF(Source!V162="","",Source!V162&amp;"s")&amp;" "&amp;IF(Source!W162="","",Source!W162&amp;"M"))</f>
        <v/>
      </c>
      <c r="K162" s="7" t="str">
        <f>IF(Source!X162="","",Source!X162)</f>
        <v/>
      </c>
      <c r="L162" s="7" t="str">
        <f>IF(Source!Y162="","",Source!Y162)</f>
        <v/>
      </c>
      <c r="M162" s="7" t="str">
        <f>IF(Source!Z162="","",Source!Z162)</f>
        <v/>
      </c>
      <c r="N162" s="7" t="str">
        <f>IF(Source!AA162="","",Source!AA162)</f>
        <v/>
      </c>
      <c r="O162" s="7" t="str">
        <f>IF(Source!AB162="","",Source!AB162)</f>
        <v/>
      </c>
      <c r="P162" s="7" t="str">
        <f>IF(Source!AC162="","",Source!AC162)</f>
        <v/>
      </c>
      <c r="Q162" s="7" t="str">
        <f>IF(Source!AD162="","",TEXT(Source!AD162,"000000000"))</f>
        <v/>
      </c>
      <c r="R162" s="7" t="str">
        <f>IF(Source!AE162="","","physical AIS type "&amp;Source!AE162)</f>
        <v/>
      </c>
      <c r="S162" s="7" t="str">
        <f>IF(Source!AF162="","",IF(LEN(Source!AF162)=1,UPPER(Source!AF162),"yes"))</f>
        <v/>
      </c>
      <c r="T162" s="7" t="str">
        <f>IF(Source!AG162="","",Source!AG162)</f>
        <v/>
      </c>
      <c r="U162" s="7" t="str">
        <f>IF(Source!AH162="","",YEAR(Source!AH162)&amp;"-"&amp;TEXT(MONTH(Source!AH162),"00")&amp;"-"&amp;TEXT(DAY(Source!AH162),"00"))</f>
        <v/>
      </c>
      <c r="V162" s="7" t="str">
        <f>IF(Source!AI162="","",IF(OR(UPPER(Source!AI162)="YES",UPPER(Source!AI162)="Y"),"visually conspicuous",IF(OR(UPPER(Source!AI162)="NO",UPPER(Source!AI162)="N"),"not visually conspicuous",Source!AI162)))</f>
        <v/>
      </c>
      <c r="W162" s="7" t="str">
        <f>IF(Source!AJ162="","",Source!AJ162)</f>
        <v/>
      </c>
    </row>
    <row r="163">
      <c r="A163" s="7" t="str">
        <f>IF(Source!A163="","",Source!A163&amp;"")</f>
        <v/>
      </c>
      <c r="B163" s="7" t="str">
        <f>TRIM(Source!C163&amp;" "&amp;Source!B163&amp;" "&amp;Source!D163)</f>
        <v/>
      </c>
      <c r="C163" s="7" t="str">
        <f>IF(Source!E163="","",Source!E163)</f>
        <v/>
      </c>
      <c r="D163" s="7" t="str">
        <f>IF(Source!F163="","",ROUND(IF(UPPER(Source!I163)="S",-1,1)*(N(Source!F163)+N(Source!G163)/60+N(Source!H163)/3600),7))</f>
        <v/>
      </c>
      <c r="E163" s="7" t="str">
        <f>IF(Source!J163="","",ROUND(IF(UPPER(Source!M163)="W",-1,1)*(N(Source!J163)+N(Source!K163)/60+N(Source!L163)/3600),7))</f>
        <v/>
      </c>
      <c r="F163" s="7" t="str">
        <f>SUBSTITUTE(TRIM(Source!N163&amp;" "&amp;Source!O163&amp;" "&amp;Source!P163)," ","/")</f>
        <v/>
      </c>
      <c r="G163" s="7" t="str">
        <f>IF(Source!Q163="","",Source!Q163)</f>
        <v/>
      </c>
      <c r="H163" s="7" t="str">
        <f>IF(Source!R163="","",Source!R163)</f>
        <v/>
      </c>
      <c r="I163" s="7" t="str">
        <f>IF(Source!S163&lt;&gt;"",Source!S163,IF(Source!C163&lt;&gt;"",Source!C163,""))</f>
        <v/>
      </c>
      <c r="J163" s="7" t="str">
        <f>TRIM(Source!T163&amp;" "&amp;Source!U163&amp;" "&amp;IF(Source!V163="","",Source!V163&amp;"s")&amp;" "&amp;IF(Source!W163="","",Source!W163&amp;"M"))</f>
        <v/>
      </c>
      <c r="K163" s="7" t="str">
        <f>IF(Source!X163="","",Source!X163)</f>
        <v/>
      </c>
      <c r="L163" s="7" t="str">
        <f>IF(Source!Y163="","",Source!Y163)</f>
        <v/>
      </c>
      <c r="M163" s="7" t="str">
        <f>IF(Source!Z163="","",Source!Z163)</f>
        <v/>
      </c>
      <c r="N163" s="7" t="str">
        <f>IF(Source!AA163="","",Source!AA163)</f>
        <v/>
      </c>
      <c r="O163" s="7" t="str">
        <f>IF(Source!AB163="","",Source!AB163)</f>
        <v/>
      </c>
      <c r="P163" s="7" t="str">
        <f>IF(Source!AC163="","",Source!AC163)</f>
        <v/>
      </c>
      <c r="Q163" s="7" t="str">
        <f>IF(Source!AD163="","",TEXT(Source!AD163,"000000000"))</f>
        <v/>
      </c>
      <c r="R163" s="7" t="str">
        <f>IF(Source!AE163="","","physical AIS type "&amp;Source!AE163)</f>
        <v/>
      </c>
      <c r="S163" s="7" t="str">
        <f>IF(Source!AF163="","",IF(LEN(Source!AF163)=1,UPPER(Source!AF163),"yes"))</f>
        <v/>
      </c>
      <c r="T163" s="7" t="str">
        <f>IF(Source!AG163="","",Source!AG163)</f>
        <v/>
      </c>
      <c r="U163" s="7" t="str">
        <f>IF(Source!AH163="","",YEAR(Source!AH163)&amp;"-"&amp;TEXT(MONTH(Source!AH163),"00")&amp;"-"&amp;TEXT(DAY(Source!AH163),"00"))</f>
        <v/>
      </c>
      <c r="V163" s="7" t="str">
        <f>IF(Source!AI163="","",IF(OR(UPPER(Source!AI163)="YES",UPPER(Source!AI163)="Y"),"visually conspicuous",IF(OR(UPPER(Source!AI163)="NO",UPPER(Source!AI163)="N"),"not visually conspicuous",Source!AI163)))</f>
        <v/>
      </c>
      <c r="W163" s="7" t="str">
        <f>IF(Source!AJ163="","",Source!AJ163)</f>
        <v/>
      </c>
    </row>
    <row r="164">
      <c r="A164" s="7" t="str">
        <f>IF(Source!A164="","",Source!A164&amp;"")</f>
        <v/>
      </c>
      <c r="B164" s="7" t="str">
        <f>TRIM(Source!C164&amp;" "&amp;Source!B164&amp;" "&amp;Source!D164)</f>
        <v/>
      </c>
      <c r="C164" s="7" t="str">
        <f>IF(Source!E164="","",Source!E164)</f>
        <v/>
      </c>
      <c r="D164" s="7" t="str">
        <f>IF(Source!F164="","",ROUND(IF(UPPER(Source!I164)="S",-1,1)*(N(Source!F164)+N(Source!G164)/60+N(Source!H164)/3600),7))</f>
        <v/>
      </c>
      <c r="E164" s="7" t="str">
        <f>IF(Source!J164="","",ROUND(IF(UPPER(Source!M164)="W",-1,1)*(N(Source!J164)+N(Source!K164)/60+N(Source!L164)/3600),7))</f>
        <v/>
      </c>
      <c r="F164" s="7" t="str">
        <f>SUBSTITUTE(TRIM(Source!N164&amp;" "&amp;Source!O164&amp;" "&amp;Source!P164)," ","/")</f>
        <v/>
      </c>
      <c r="G164" s="7" t="str">
        <f>IF(Source!Q164="","",Source!Q164)</f>
        <v/>
      </c>
      <c r="H164" s="7" t="str">
        <f>IF(Source!R164="","",Source!R164)</f>
        <v/>
      </c>
      <c r="I164" s="7" t="str">
        <f>IF(Source!S164&lt;&gt;"",Source!S164,IF(Source!C164&lt;&gt;"",Source!C164,""))</f>
        <v/>
      </c>
      <c r="J164" s="7" t="str">
        <f>TRIM(Source!T164&amp;" "&amp;Source!U164&amp;" "&amp;IF(Source!V164="","",Source!V164&amp;"s")&amp;" "&amp;IF(Source!W164="","",Source!W164&amp;"M"))</f>
        <v/>
      </c>
      <c r="K164" s="7" t="str">
        <f>IF(Source!X164="","",Source!X164)</f>
        <v/>
      </c>
      <c r="L164" s="7" t="str">
        <f>IF(Source!Y164="","",Source!Y164)</f>
        <v/>
      </c>
      <c r="M164" s="7" t="str">
        <f>IF(Source!Z164="","",Source!Z164)</f>
        <v/>
      </c>
      <c r="N164" s="7" t="str">
        <f>IF(Source!AA164="","",Source!AA164)</f>
        <v/>
      </c>
      <c r="O164" s="7" t="str">
        <f>IF(Source!AB164="","",Source!AB164)</f>
        <v/>
      </c>
      <c r="P164" s="7" t="str">
        <f>IF(Source!AC164="","",Source!AC164)</f>
        <v/>
      </c>
      <c r="Q164" s="7" t="str">
        <f>IF(Source!AD164="","",TEXT(Source!AD164,"000000000"))</f>
        <v/>
      </c>
      <c r="R164" s="7" t="str">
        <f>IF(Source!AE164="","","physical AIS type "&amp;Source!AE164)</f>
        <v/>
      </c>
      <c r="S164" s="7" t="str">
        <f>IF(Source!AF164="","",IF(LEN(Source!AF164)=1,UPPER(Source!AF164),"yes"))</f>
        <v/>
      </c>
      <c r="T164" s="7" t="str">
        <f>IF(Source!AG164="","",Source!AG164)</f>
        <v/>
      </c>
      <c r="U164" s="7" t="str">
        <f>IF(Source!AH164="","",YEAR(Source!AH164)&amp;"-"&amp;TEXT(MONTH(Source!AH164),"00")&amp;"-"&amp;TEXT(DAY(Source!AH164),"00"))</f>
        <v/>
      </c>
      <c r="V164" s="7" t="str">
        <f>IF(Source!AI164="","",IF(OR(UPPER(Source!AI164)="YES",UPPER(Source!AI164)="Y"),"visually conspicuous",IF(OR(UPPER(Source!AI164)="NO",UPPER(Source!AI164)="N"),"not visually conspicuous",Source!AI164)))</f>
        <v/>
      </c>
      <c r="W164" s="7" t="str">
        <f>IF(Source!AJ164="","",Source!AJ164)</f>
        <v/>
      </c>
    </row>
    <row r="165">
      <c r="A165" s="7" t="str">
        <f>IF(Source!A165="","",Source!A165&amp;"")</f>
        <v/>
      </c>
      <c r="B165" s="7" t="str">
        <f>TRIM(Source!C165&amp;" "&amp;Source!B165&amp;" "&amp;Source!D165)</f>
        <v/>
      </c>
      <c r="C165" s="7" t="str">
        <f>IF(Source!E165="","",Source!E165)</f>
        <v/>
      </c>
      <c r="D165" s="7" t="str">
        <f>IF(Source!F165="","",ROUND(IF(UPPER(Source!I165)="S",-1,1)*(N(Source!F165)+N(Source!G165)/60+N(Source!H165)/3600),7))</f>
        <v/>
      </c>
      <c r="E165" s="7" t="str">
        <f>IF(Source!J165="","",ROUND(IF(UPPER(Source!M165)="W",-1,1)*(N(Source!J165)+N(Source!K165)/60+N(Source!L165)/3600),7))</f>
        <v/>
      </c>
      <c r="F165" s="7" t="str">
        <f>SUBSTITUTE(TRIM(Source!N165&amp;" "&amp;Source!O165&amp;" "&amp;Source!P165)," ","/")</f>
        <v/>
      </c>
      <c r="G165" s="7" t="str">
        <f>IF(Source!Q165="","",Source!Q165)</f>
        <v/>
      </c>
      <c r="H165" s="7" t="str">
        <f>IF(Source!R165="","",Source!R165)</f>
        <v/>
      </c>
      <c r="I165" s="7" t="str">
        <f>IF(Source!S165&lt;&gt;"",Source!S165,IF(Source!C165&lt;&gt;"",Source!C165,""))</f>
        <v/>
      </c>
      <c r="J165" s="7" t="str">
        <f>TRIM(Source!T165&amp;" "&amp;Source!U165&amp;" "&amp;IF(Source!V165="","",Source!V165&amp;"s")&amp;" "&amp;IF(Source!W165="","",Source!W165&amp;"M"))</f>
        <v/>
      </c>
      <c r="K165" s="7" t="str">
        <f>IF(Source!X165="","",Source!X165)</f>
        <v/>
      </c>
      <c r="L165" s="7" t="str">
        <f>IF(Source!Y165="","",Source!Y165)</f>
        <v/>
      </c>
      <c r="M165" s="7" t="str">
        <f>IF(Source!Z165="","",Source!Z165)</f>
        <v/>
      </c>
      <c r="N165" s="7" t="str">
        <f>IF(Source!AA165="","",Source!AA165)</f>
        <v/>
      </c>
      <c r="O165" s="7" t="str">
        <f>IF(Source!AB165="","",Source!AB165)</f>
        <v/>
      </c>
      <c r="P165" s="7" t="str">
        <f>IF(Source!AC165="","",Source!AC165)</f>
        <v/>
      </c>
      <c r="Q165" s="7" t="str">
        <f>IF(Source!AD165="","",TEXT(Source!AD165,"000000000"))</f>
        <v/>
      </c>
      <c r="R165" s="7" t="str">
        <f>IF(Source!AE165="","","physical AIS type "&amp;Source!AE165)</f>
        <v/>
      </c>
      <c r="S165" s="7" t="str">
        <f>IF(Source!AF165="","",IF(LEN(Source!AF165)=1,UPPER(Source!AF165),"yes"))</f>
        <v/>
      </c>
      <c r="T165" s="7" t="str">
        <f>IF(Source!AG165="","",Source!AG165)</f>
        <v/>
      </c>
      <c r="U165" s="7" t="str">
        <f>IF(Source!AH165="","",YEAR(Source!AH165)&amp;"-"&amp;TEXT(MONTH(Source!AH165),"00")&amp;"-"&amp;TEXT(DAY(Source!AH165),"00"))</f>
        <v/>
      </c>
      <c r="V165" s="7" t="str">
        <f>IF(Source!AI165="","",IF(OR(UPPER(Source!AI165)="YES",UPPER(Source!AI165)="Y"),"visually conspicuous",IF(OR(UPPER(Source!AI165)="NO",UPPER(Source!AI165)="N"),"not visually conspicuous",Source!AI165)))</f>
        <v/>
      </c>
      <c r="W165" s="7" t="str">
        <f>IF(Source!AJ165="","",Source!AJ165)</f>
        <v/>
      </c>
    </row>
    <row r="166">
      <c r="A166" s="7" t="str">
        <f>IF(Source!A166="","",Source!A166&amp;"")</f>
        <v/>
      </c>
      <c r="B166" s="7" t="str">
        <f>TRIM(Source!C166&amp;" "&amp;Source!B166&amp;" "&amp;Source!D166)</f>
        <v/>
      </c>
      <c r="C166" s="7" t="str">
        <f>IF(Source!E166="","",Source!E166)</f>
        <v/>
      </c>
      <c r="D166" s="7" t="str">
        <f>IF(Source!F166="","",ROUND(IF(UPPER(Source!I166)="S",-1,1)*(N(Source!F166)+N(Source!G166)/60+N(Source!H166)/3600),7))</f>
        <v/>
      </c>
      <c r="E166" s="7" t="str">
        <f>IF(Source!J166="","",ROUND(IF(UPPER(Source!M166)="W",-1,1)*(N(Source!J166)+N(Source!K166)/60+N(Source!L166)/3600),7))</f>
        <v/>
      </c>
      <c r="F166" s="7" t="str">
        <f>SUBSTITUTE(TRIM(Source!N166&amp;" "&amp;Source!O166&amp;" "&amp;Source!P166)," ","/")</f>
        <v/>
      </c>
      <c r="G166" s="7" t="str">
        <f>IF(Source!Q166="","",Source!Q166)</f>
        <v/>
      </c>
      <c r="H166" s="7" t="str">
        <f>IF(Source!R166="","",Source!R166)</f>
        <v/>
      </c>
      <c r="I166" s="7" t="str">
        <f>IF(Source!S166&lt;&gt;"",Source!S166,IF(Source!C166&lt;&gt;"",Source!C166,""))</f>
        <v/>
      </c>
      <c r="J166" s="7" t="str">
        <f>TRIM(Source!T166&amp;" "&amp;Source!U166&amp;" "&amp;IF(Source!V166="","",Source!V166&amp;"s")&amp;" "&amp;IF(Source!W166="","",Source!W166&amp;"M"))</f>
        <v/>
      </c>
      <c r="K166" s="7" t="str">
        <f>IF(Source!X166="","",Source!X166)</f>
        <v/>
      </c>
      <c r="L166" s="7" t="str">
        <f>IF(Source!Y166="","",Source!Y166)</f>
        <v/>
      </c>
      <c r="M166" s="7" t="str">
        <f>IF(Source!Z166="","",Source!Z166)</f>
        <v/>
      </c>
      <c r="N166" s="7" t="str">
        <f>IF(Source!AA166="","",Source!AA166)</f>
        <v/>
      </c>
      <c r="O166" s="7" t="str">
        <f>IF(Source!AB166="","",Source!AB166)</f>
        <v/>
      </c>
      <c r="P166" s="7" t="str">
        <f>IF(Source!AC166="","",Source!AC166)</f>
        <v/>
      </c>
      <c r="Q166" s="7" t="str">
        <f>IF(Source!AD166="","",TEXT(Source!AD166,"000000000"))</f>
        <v/>
      </c>
      <c r="R166" s="7" t="str">
        <f>IF(Source!AE166="","","physical AIS type "&amp;Source!AE166)</f>
        <v/>
      </c>
      <c r="S166" s="7" t="str">
        <f>IF(Source!AF166="","",IF(LEN(Source!AF166)=1,UPPER(Source!AF166),"yes"))</f>
        <v/>
      </c>
      <c r="T166" s="7" t="str">
        <f>IF(Source!AG166="","",Source!AG166)</f>
        <v/>
      </c>
      <c r="U166" s="7" t="str">
        <f>IF(Source!AH166="","",YEAR(Source!AH166)&amp;"-"&amp;TEXT(MONTH(Source!AH166),"00")&amp;"-"&amp;TEXT(DAY(Source!AH166),"00"))</f>
        <v/>
      </c>
      <c r="V166" s="7" t="str">
        <f>IF(Source!AI166="","",IF(OR(UPPER(Source!AI166)="YES",UPPER(Source!AI166)="Y"),"visually conspicuous",IF(OR(UPPER(Source!AI166)="NO",UPPER(Source!AI166)="N"),"not visually conspicuous",Source!AI166)))</f>
        <v/>
      </c>
      <c r="W166" s="7" t="str">
        <f>IF(Source!AJ166="","",Source!AJ166)</f>
        <v/>
      </c>
    </row>
    <row r="167">
      <c r="A167" s="7" t="str">
        <f>IF(Source!A167="","",Source!A167&amp;"")</f>
        <v/>
      </c>
      <c r="B167" s="7" t="str">
        <f>TRIM(Source!C167&amp;" "&amp;Source!B167&amp;" "&amp;Source!D167)</f>
        <v/>
      </c>
      <c r="C167" s="7" t="str">
        <f>IF(Source!E167="","",Source!E167)</f>
        <v/>
      </c>
      <c r="D167" s="7" t="str">
        <f>IF(Source!F167="","",ROUND(IF(UPPER(Source!I167)="S",-1,1)*(N(Source!F167)+N(Source!G167)/60+N(Source!H167)/3600),7))</f>
        <v/>
      </c>
      <c r="E167" s="7" t="str">
        <f>IF(Source!J167="","",ROUND(IF(UPPER(Source!M167)="W",-1,1)*(N(Source!J167)+N(Source!K167)/60+N(Source!L167)/3600),7))</f>
        <v/>
      </c>
      <c r="F167" s="7" t="str">
        <f>SUBSTITUTE(TRIM(Source!N167&amp;" "&amp;Source!O167&amp;" "&amp;Source!P167)," ","/")</f>
        <v/>
      </c>
      <c r="G167" s="7" t="str">
        <f>IF(Source!Q167="","",Source!Q167)</f>
        <v/>
      </c>
      <c r="H167" s="7" t="str">
        <f>IF(Source!R167="","",Source!R167)</f>
        <v/>
      </c>
      <c r="I167" s="7" t="str">
        <f>IF(Source!S167&lt;&gt;"",Source!S167,IF(Source!C167&lt;&gt;"",Source!C167,""))</f>
        <v/>
      </c>
      <c r="J167" s="7" t="str">
        <f>TRIM(Source!T167&amp;" "&amp;Source!U167&amp;" "&amp;IF(Source!V167="","",Source!V167&amp;"s")&amp;" "&amp;IF(Source!W167="","",Source!W167&amp;"M"))</f>
        <v/>
      </c>
      <c r="K167" s="7" t="str">
        <f>IF(Source!X167="","",Source!X167)</f>
        <v/>
      </c>
      <c r="L167" s="7" t="str">
        <f>IF(Source!Y167="","",Source!Y167)</f>
        <v/>
      </c>
      <c r="M167" s="7" t="str">
        <f>IF(Source!Z167="","",Source!Z167)</f>
        <v/>
      </c>
      <c r="N167" s="7" t="str">
        <f>IF(Source!AA167="","",Source!AA167)</f>
        <v/>
      </c>
      <c r="O167" s="7" t="str">
        <f>IF(Source!AB167="","",Source!AB167)</f>
        <v/>
      </c>
      <c r="P167" s="7" t="str">
        <f>IF(Source!AC167="","",Source!AC167)</f>
        <v/>
      </c>
      <c r="Q167" s="7" t="str">
        <f>IF(Source!AD167="","",TEXT(Source!AD167,"000000000"))</f>
        <v/>
      </c>
      <c r="R167" s="7" t="str">
        <f>IF(Source!AE167="","","physical AIS type "&amp;Source!AE167)</f>
        <v/>
      </c>
      <c r="S167" s="7" t="str">
        <f>IF(Source!AF167="","",IF(LEN(Source!AF167)=1,UPPER(Source!AF167),"yes"))</f>
        <v/>
      </c>
      <c r="T167" s="7" t="str">
        <f>IF(Source!AG167="","",Source!AG167)</f>
        <v/>
      </c>
      <c r="U167" s="7" t="str">
        <f>IF(Source!AH167="","",YEAR(Source!AH167)&amp;"-"&amp;TEXT(MONTH(Source!AH167),"00")&amp;"-"&amp;TEXT(DAY(Source!AH167),"00"))</f>
        <v/>
      </c>
      <c r="V167" s="7" t="str">
        <f>IF(Source!AI167="","",IF(OR(UPPER(Source!AI167)="YES",UPPER(Source!AI167)="Y"),"visually conspicuous",IF(OR(UPPER(Source!AI167)="NO",UPPER(Source!AI167)="N"),"not visually conspicuous",Source!AI167)))</f>
        <v/>
      </c>
      <c r="W167" s="7" t="str">
        <f>IF(Source!AJ167="","",Source!AJ167)</f>
        <v/>
      </c>
    </row>
    <row r="168">
      <c r="A168" s="7" t="str">
        <f>IF(Source!A168="","",Source!A168&amp;"")</f>
        <v/>
      </c>
      <c r="B168" s="7" t="str">
        <f>TRIM(Source!C168&amp;" "&amp;Source!B168&amp;" "&amp;Source!D168)</f>
        <v/>
      </c>
      <c r="C168" s="7" t="str">
        <f>IF(Source!E168="","",Source!E168)</f>
        <v/>
      </c>
      <c r="D168" s="7" t="str">
        <f>IF(Source!F168="","",ROUND(IF(UPPER(Source!I168)="S",-1,1)*(N(Source!F168)+N(Source!G168)/60+N(Source!H168)/3600),7))</f>
        <v/>
      </c>
      <c r="E168" s="7" t="str">
        <f>IF(Source!J168="","",ROUND(IF(UPPER(Source!M168)="W",-1,1)*(N(Source!J168)+N(Source!K168)/60+N(Source!L168)/3600),7))</f>
        <v/>
      </c>
      <c r="F168" s="7" t="str">
        <f>SUBSTITUTE(TRIM(Source!N168&amp;" "&amp;Source!O168&amp;" "&amp;Source!P168)," ","/")</f>
        <v/>
      </c>
      <c r="G168" s="7" t="str">
        <f>IF(Source!Q168="","",Source!Q168)</f>
        <v/>
      </c>
      <c r="H168" s="7" t="str">
        <f>IF(Source!R168="","",Source!R168)</f>
        <v/>
      </c>
      <c r="I168" s="7" t="str">
        <f>IF(Source!S168&lt;&gt;"",Source!S168,IF(Source!C168&lt;&gt;"",Source!C168,""))</f>
        <v/>
      </c>
      <c r="J168" s="7" t="str">
        <f>TRIM(Source!T168&amp;" "&amp;Source!U168&amp;" "&amp;IF(Source!V168="","",Source!V168&amp;"s")&amp;" "&amp;IF(Source!W168="","",Source!W168&amp;"M"))</f>
        <v/>
      </c>
      <c r="K168" s="7" t="str">
        <f>IF(Source!X168="","",Source!X168)</f>
        <v/>
      </c>
      <c r="L168" s="7" t="str">
        <f>IF(Source!Y168="","",Source!Y168)</f>
        <v/>
      </c>
      <c r="M168" s="7" t="str">
        <f>IF(Source!Z168="","",Source!Z168)</f>
        <v/>
      </c>
      <c r="N168" s="7" t="str">
        <f>IF(Source!AA168="","",Source!AA168)</f>
        <v/>
      </c>
      <c r="O168" s="7" t="str">
        <f>IF(Source!AB168="","",Source!AB168)</f>
        <v/>
      </c>
      <c r="P168" s="7" t="str">
        <f>IF(Source!AC168="","",Source!AC168)</f>
        <v/>
      </c>
      <c r="Q168" s="7" t="str">
        <f>IF(Source!AD168="","",TEXT(Source!AD168,"000000000"))</f>
        <v/>
      </c>
      <c r="R168" s="7" t="str">
        <f>IF(Source!AE168="","","physical AIS type "&amp;Source!AE168)</f>
        <v/>
      </c>
      <c r="S168" s="7" t="str">
        <f>IF(Source!AF168="","",IF(LEN(Source!AF168)=1,UPPER(Source!AF168),"yes"))</f>
        <v/>
      </c>
      <c r="T168" s="7" t="str">
        <f>IF(Source!AG168="","",Source!AG168)</f>
        <v/>
      </c>
      <c r="U168" s="7" t="str">
        <f>IF(Source!AH168="","",YEAR(Source!AH168)&amp;"-"&amp;TEXT(MONTH(Source!AH168),"00")&amp;"-"&amp;TEXT(DAY(Source!AH168),"00"))</f>
        <v/>
      </c>
      <c r="V168" s="7" t="str">
        <f>IF(Source!AI168="","",IF(OR(UPPER(Source!AI168)="YES",UPPER(Source!AI168)="Y"),"visually conspicuous",IF(OR(UPPER(Source!AI168)="NO",UPPER(Source!AI168)="N"),"not visually conspicuous",Source!AI168)))</f>
        <v/>
      </c>
      <c r="W168" s="7" t="str">
        <f>IF(Source!AJ168="","",Source!AJ168)</f>
        <v/>
      </c>
    </row>
    <row r="169">
      <c r="A169" s="7" t="str">
        <f>IF(Source!A169="","",Source!A169&amp;"")</f>
        <v/>
      </c>
      <c r="B169" s="7" t="str">
        <f>TRIM(Source!C169&amp;" "&amp;Source!B169&amp;" "&amp;Source!D169)</f>
        <v/>
      </c>
      <c r="C169" s="7" t="str">
        <f>IF(Source!E169="","",Source!E169)</f>
        <v/>
      </c>
      <c r="D169" s="7" t="str">
        <f>IF(Source!F169="","",ROUND(IF(UPPER(Source!I169)="S",-1,1)*(N(Source!F169)+N(Source!G169)/60+N(Source!H169)/3600),7))</f>
        <v/>
      </c>
      <c r="E169" s="7" t="str">
        <f>IF(Source!J169="","",ROUND(IF(UPPER(Source!M169)="W",-1,1)*(N(Source!J169)+N(Source!K169)/60+N(Source!L169)/3600),7))</f>
        <v/>
      </c>
      <c r="F169" s="7" t="str">
        <f>SUBSTITUTE(TRIM(Source!N169&amp;" "&amp;Source!O169&amp;" "&amp;Source!P169)," ","/")</f>
        <v/>
      </c>
      <c r="G169" s="7" t="str">
        <f>IF(Source!Q169="","",Source!Q169)</f>
        <v/>
      </c>
      <c r="H169" s="7" t="str">
        <f>IF(Source!R169="","",Source!R169)</f>
        <v/>
      </c>
      <c r="I169" s="7" t="str">
        <f>IF(Source!S169&lt;&gt;"",Source!S169,IF(Source!C169&lt;&gt;"",Source!C169,""))</f>
        <v/>
      </c>
      <c r="J169" s="7" t="str">
        <f>TRIM(Source!T169&amp;" "&amp;Source!U169&amp;" "&amp;IF(Source!V169="","",Source!V169&amp;"s")&amp;" "&amp;IF(Source!W169="","",Source!W169&amp;"M"))</f>
        <v/>
      </c>
      <c r="K169" s="7" t="str">
        <f>IF(Source!X169="","",Source!X169)</f>
        <v/>
      </c>
      <c r="L169" s="7" t="str">
        <f>IF(Source!Y169="","",Source!Y169)</f>
        <v/>
      </c>
      <c r="M169" s="7" t="str">
        <f>IF(Source!Z169="","",Source!Z169)</f>
        <v/>
      </c>
      <c r="N169" s="7" t="str">
        <f>IF(Source!AA169="","",Source!AA169)</f>
        <v/>
      </c>
      <c r="O169" s="7" t="str">
        <f>IF(Source!AB169="","",Source!AB169)</f>
        <v/>
      </c>
      <c r="P169" s="7" t="str">
        <f>IF(Source!AC169="","",Source!AC169)</f>
        <v/>
      </c>
      <c r="Q169" s="7" t="str">
        <f>IF(Source!AD169="","",TEXT(Source!AD169,"000000000"))</f>
        <v/>
      </c>
      <c r="R169" s="7" t="str">
        <f>IF(Source!AE169="","","physical AIS type "&amp;Source!AE169)</f>
        <v/>
      </c>
      <c r="S169" s="7" t="str">
        <f>IF(Source!AF169="","",IF(LEN(Source!AF169)=1,UPPER(Source!AF169),"yes"))</f>
        <v/>
      </c>
      <c r="T169" s="7" t="str">
        <f>IF(Source!AG169="","",Source!AG169)</f>
        <v/>
      </c>
      <c r="U169" s="7" t="str">
        <f>IF(Source!AH169="","",YEAR(Source!AH169)&amp;"-"&amp;TEXT(MONTH(Source!AH169),"00")&amp;"-"&amp;TEXT(DAY(Source!AH169),"00"))</f>
        <v/>
      </c>
      <c r="V169" s="7" t="str">
        <f>IF(Source!AI169="","",IF(OR(UPPER(Source!AI169)="YES",UPPER(Source!AI169)="Y"),"visually conspicuous",IF(OR(UPPER(Source!AI169)="NO",UPPER(Source!AI169)="N"),"not visually conspicuous",Source!AI169)))</f>
        <v/>
      </c>
      <c r="W169" s="7" t="str">
        <f>IF(Source!AJ169="","",Source!AJ169)</f>
        <v/>
      </c>
    </row>
    <row r="170">
      <c r="A170" s="7" t="str">
        <f>IF(Source!A170="","",Source!A170&amp;"")</f>
        <v/>
      </c>
      <c r="B170" s="7" t="str">
        <f>TRIM(Source!C170&amp;" "&amp;Source!B170&amp;" "&amp;Source!D170)</f>
        <v/>
      </c>
      <c r="C170" s="7" t="str">
        <f>IF(Source!E170="","",Source!E170)</f>
        <v/>
      </c>
      <c r="D170" s="7" t="str">
        <f>IF(Source!F170="","",ROUND(IF(UPPER(Source!I170)="S",-1,1)*(N(Source!F170)+N(Source!G170)/60+N(Source!H170)/3600),7))</f>
        <v/>
      </c>
      <c r="E170" s="7" t="str">
        <f>IF(Source!J170="","",ROUND(IF(UPPER(Source!M170)="W",-1,1)*(N(Source!J170)+N(Source!K170)/60+N(Source!L170)/3600),7))</f>
        <v/>
      </c>
      <c r="F170" s="7" t="str">
        <f>SUBSTITUTE(TRIM(Source!N170&amp;" "&amp;Source!O170&amp;" "&amp;Source!P170)," ","/")</f>
        <v/>
      </c>
      <c r="G170" s="7" t="str">
        <f>IF(Source!Q170="","",Source!Q170)</f>
        <v/>
      </c>
      <c r="H170" s="7" t="str">
        <f>IF(Source!R170="","",Source!R170)</f>
        <v/>
      </c>
      <c r="I170" s="7" t="str">
        <f>IF(Source!S170&lt;&gt;"",Source!S170,IF(Source!C170&lt;&gt;"",Source!C170,""))</f>
        <v/>
      </c>
      <c r="J170" s="7" t="str">
        <f>TRIM(Source!T170&amp;" "&amp;Source!U170&amp;" "&amp;IF(Source!V170="","",Source!V170&amp;"s")&amp;" "&amp;IF(Source!W170="","",Source!W170&amp;"M"))</f>
        <v/>
      </c>
      <c r="K170" s="7" t="str">
        <f>IF(Source!X170="","",Source!X170)</f>
        <v/>
      </c>
      <c r="L170" s="7" t="str">
        <f>IF(Source!Y170="","",Source!Y170)</f>
        <v/>
      </c>
      <c r="M170" s="7" t="str">
        <f>IF(Source!Z170="","",Source!Z170)</f>
        <v/>
      </c>
      <c r="N170" s="7" t="str">
        <f>IF(Source!AA170="","",Source!AA170)</f>
        <v/>
      </c>
      <c r="O170" s="7" t="str">
        <f>IF(Source!AB170="","",Source!AB170)</f>
        <v/>
      </c>
      <c r="P170" s="7" t="str">
        <f>IF(Source!AC170="","",Source!AC170)</f>
        <v/>
      </c>
      <c r="Q170" s="7" t="str">
        <f>IF(Source!AD170="","",TEXT(Source!AD170,"000000000"))</f>
        <v/>
      </c>
      <c r="R170" s="7" t="str">
        <f>IF(Source!AE170="","","physical AIS type "&amp;Source!AE170)</f>
        <v/>
      </c>
      <c r="S170" s="7" t="str">
        <f>IF(Source!AF170="","",IF(LEN(Source!AF170)=1,UPPER(Source!AF170),"yes"))</f>
        <v/>
      </c>
      <c r="T170" s="7" t="str">
        <f>IF(Source!AG170="","",Source!AG170)</f>
        <v/>
      </c>
      <c r="U170" s="7" t="str">
        <f>IF(Source!AH170="","",YEAR(Source!AH170)&amp;"-"&amp;TEXT(MONTH(Source!AH170),"00")&amp;"-"&amp;TEXT(DAY(Source!AH170),"00"))</f>
        <v/>
      </c>
      <c r="V170" s="7" t="str">
        <f>IF(Source!AI170="","",IF(OR(UPPER(Source!AI170)="YES",UPPER(Source!AI170)="Y"),"visually conspicuous",IF(OR(UPPER(Source!AI170)="NO",UPPER(Source!AI170)="N"),"not visually conspicuous",Source!AI170)))</f>
        <v/>
      </c>
      <c r="W170" s="7" t="str">
        <f>IF(Source!AJ170="","",Source!AJ170)</f>
        <v/>
      </c>
    </row>
    <row r="171">
      <c r="A171" s="7" t="str">
        <f>IF(Source!A171="","",Source!A171&amp;"")</f>
        <v/>
      </c>
      <c r="B171" s="7" t="str">
        <f>TRIM(Source!C171&amp;" "&amp;Source!B171&amp;" "&amp;Source!D171)</f>
        <v/>
      </c>
      <c r="C171" s="7" t="str">
        <f>IF(Source!E171="","",Source!E171)</f>
        <v/>
      </c>
      <c r="D171" s="7" t="str">
        <f>IF(Source!F171="","",ROUND(IF(UPPER(Source!I171)="S",-1,1)*(N(Source!F171)+N(Source!G171)/60+N(Source!H171)/3600),7))</f>
        <v/>
      </c>
      <c r="E171" s="7" t="str">
        <f>IF(Source!J171="","",ROUND(IF(UPPER(Source!M171)="W",-1,1)*(N(Source!J171)+N(Source!K171)/60+N(Source!L171)/3600),7))</f>
        <v/>
      </c>
      <c r="F171" s="7" t="str">
        <f>SUBSTITUTE(TRIM(Source!N171&amp;" "&amp;Source!O171&amp;" "&amp;Source!P171)," ","/")</f>
        <v/>
      </c>
      <c r="G171" s="7" t="str">
        <f>IF(Source!Q171="","",Source!Q171)</f>
        <v/>
      </c>
      <c r="H171" s="7" t="str">
        <f>IF(Source!R171="","",Source!R171)</f>
        <v/>
      </c>
      <c r="I171" s="7" t="str">
        <f>IF(Source!S171&lt;&gt;"",Source!S171,IF(Source!C171&lt;&gt;"",Source!C171,""))</f>
        <v/>
      </c>
      <c r="J171" s="7" t="str">
        <f>TRIM(Source!T171&amp;" "&amp;Source!U171&amp;" "&amp;IF(Source!V171="","",Source!V171&amp;"s")&amp;" "&amp;IF(Source!W171="","",Source!W171&amp;"M"))</f>
        <v/>
      </c>
      <c r="K171" s="7" t="str">
        <f>IF(Source!X171="","",Source!X171)</f>
        <v/>
      </c>
      <c r="L171" s="7" t="str">
        <f>IF(Source!Y171="","",Source!Y171)</f>
        <v/>
      </c>
      <c r="M171" s="7" t="str">
        <f>IF(Source!Z171="","",Source!Z171)</f>
        <v/>
      </c>
      <c r="N171" s="7" t="str">
        <f>IF(Source!AA171="","",Source!AA171)</f>
        <v/>
      </c>
      <c r="O171" s="7" t="str">
        <f>IF(Source!AB171="","",Source!AB171)</f>
        <v/>
      </c>
      <c r="P171" s="7" t="str">
        <f>IF(Source!AC171="","",Source!AC171)</f>
        <v/>
      </c>
      <c r="Q171" s="7" t="str">
        <f>IF(Source!AD171="","",TEXT(Source!AD171,"000000000"))</f>
        <v/>
      </c>
      <c r="R171" s="7" t="str">
        <f>IF(Source!AE171="","","physical AIS type "&amp;Source!AE171)</f>
        <v/>
      </c>
      <c r="S171" s="7" t="str">
        <f>IF(Source!AF171="","",IF(LEN(Source!AF171)=1,UPPER(Source!AF171),"yes"))</f>
        <v/>
      </c>
      <c r="T171" s="7" t="str">
        <f>IF(Source!AG171="","",Source!AG171)</f>
        <v/>
      </c>
      <c r="U171" s="7" t="str">
        <f>IF(Source!AH171="","",YEAR(Source!AH171)&amp;"-"&amp;TEXT(MONTH(Source!AH171),"00")&amp;"-"&amp;TEXT(DAY(Source!AH171),"00"))</f>
        <v/>
      </c>
      <c r="V171" s="7" t="str">
        <f>IF(Source!AI171="","",IF(OR(UPPER(Source!AI171)="YES",UPPER(Source!AI171)="Y"),"visually conspicuous",IF(OR(UPPER(Source!AI171)="NO",UPPER(Source!AI171)="N"),"not visually conspicuous",Source!AI171)))</f>
        <v/>
      </c>
      <c r="W171" s="7" t="str">
        <f>IF(Source!AJ171="","",Source!AJ171)</f>
        <v/>
      </c>
    </row>
    <row r="172">
      <c r="A172" s="7" t="str">
        <f>IF(Source!A172="","",Source!A172&amp;"")</f>
        <v/>
      </c>
      <c r="B172" s="7" t="str">
        <f>TRIM(Source!C172&amp;" "&amp;Source!B172&amp;" "&amp;Source!D172)</f>
        <v/>
      </c>
      <c r="C172" s="7" t="str">
        <f>IF(Source!E172="","",Source!E172)</f>
        <v/>
      </c>
      <c r="D172" s="7" t="str">
        <f>IF(Source!F172="","",ROUND(IF(UPPER(Source!I172)="S",-1,1)*(N(Source!F172)+N(Source!G172)/60+N(Source!H172)/3600),7))</f>
        <v/>
      </c>
      <c r="E172" s="7" t="str">
        <f>IF(Source!J172="","",ROUND(IF(UPPER(Source!M172)="W",-1,1)*(N(Source!J172)+N(Source!K172)/60+N(Source!L172)/3600),7))</f>
        <v/>
      </c>
      <c r="F172" s="7" t="str">
        <f>SUBSTITUTE(TRIM(Source!N172&amp;" "&amp;Source!O172&amp;" "&amp;Source!P172)," ","/")</f>
        <v/>
      </c>
      <c r="G172" s="7" t="str">
        <f>IF(Source!Q172="","",Source!Q172)</f>
        <v/>
      </c>
      <c r="H172" s="7" t="str">
        <f>IF(Source!R172="","",Source!R172)</f>
        <v/>
      </c>
      <c r="I172" s="7" t="str">
        <f>IF(Source!S172&lt;&gt;"",Source!S172,IF(Source!C172&lt;&gt;"",Source!C172,""))</f>
        <v/>
      </c>
      <c r="J172" s="7" t="str">
        <f>TRIM(Source!T172&amp;" "&amp;Source!U172&amp;" "&amp;IF(Source!V172="","",Source!V172&amp;"s")&amp;" "&amp;IF(Source!W172="","",Source!W172&amp;"M"))</f>
        <v/>
      </c>
      <c r="K172" s="7" t="str">
        <f>IF(Source!X172="","",Source!X172)</f>
        <v/>
      </c>
      <c r="L172" s="7" t="str">
        <f>IF(Source!Y172="","",Source!Y172)</f>
        <v/>
      </c>
      <c r="M172" s="7" t="str">
        <f>IF(Source!Z172="","",Source!Z172)</f>
        <v/>
      </c>
      <c r="N172" s="7" t="str">
        <f>IF(Source!AA172="","",Source!AA172)</f>
        <v/>
      </c>
      <c r="O172" s="7" t="str">
        <f>IF(Source!AB172="","",Source!AB172)</f>
        <v/>
      </c>
      <c r="P172" s="7" t="str">
        <f>IF(Source!AC172="","",Source!AC172)</f>
        <v/>
      </c>
      <c r="Q172" s="7" t="str">
        <f>IF(Source!AD172="","",TEXT(Source!AD172,"000000000"))</f>
        <v/>
      </c>
      <c r="R172" s="7" t="str">
        <f>IF(Source!AE172="","","physical AIS type "&amp;Source!AE172)</f>
        <v/>
      </c>
      <c r="S172" s="7" t="str">
        <f>IF(Source!AF172="","",IF(LEN(Source!AF172)=1,UPPER(Source!AF172),"yes"))</f>
        <v/>
      </c>
      <c r="T172" s="7" t="str">
        <f>IF(Source!AG172="","",Source!AG172)</f>
        <v/>
      </c>
      <c r="U172" s="7" t="str">
        <f>IF(Source!AH172="","",YEAR(Source!AH172)&amp;"-"&amp;TEXT(MONTH(Source!AH172),"00")&amp;"-"&amp;TEXT(DAY(Source!AH172),"00"))</f>
        <v/>
      </c>
      <c r="V172" s="7" t="str">
        <f>IF(Source!AI172="","",IF(OR(UPPER(Source!AI172)="YES",UPPER(Source!AI172)="Y"),"visually conspicuous",IF(OR(UPPER(Source!AI172)="NO",UPPER(Source!AI172)="N"),"not visually conspicuous",Source!AI172)))</f>
        <v/>
      </c>
      <c r="W172" s="7" t="str">
        <f>IF(Source!AJ172="","",Source!AJ172)</f>
        <v/>
      </c>
    </row>
    <row r="173">
      <c r="A173" s="7" t="str">
        <f>IF(Source!A173="","",Source!A173&amp;"")</f>
        <v/>
      </c>
      <c r="B173" s="7" t="str">
        <f>TRIM(Source!C173&amp;" "&amp;Source!B173&amp;" "&amp;Source!D173)</f>
        <v/>
      </c>
      <c r="C173" s="7" t="str">
        <f>IF(Source!E173="","",Source!E173)</f>
        <v/>
      </c>
      <c r="D173" s="7" t="str">
        <f>IF(Source!F173="","",ROUND(IF(UPPER(Source!I173)="S",-1,1)*(N(Source!F173)+N(Source!G173)/60+N(Source!H173)/3600),7))</f>
        <v/>
      </c>
      <c r="E173" s="7" t="str">
        <f>IF(Source!J173="","",ROUND(IF(UPPER(Source!M173)="W",-1,1)*(N(Source!J173)+N(Source!K173)/60+N(Source!L173)/3600),7))</f>
        <v/>
      </c>
      <c r="F173" s="7" t="str">
        <f>SUBSTITUTE(TRIM(Source!N173&amp;" "&amp;Source!O173&amp;" "&amp;Source!P173)," ","/")</f>
        <v/>
      </c>
      <c r="G173" s="7" t="str">
        <f>IF(Source!Q173="","",Source!Q173)</f>
        <v/>
      </c>
      <c r="H173" s="7" t="str">
        <f>IF(Source!R173="","",Source!R173)</f>
        <v/>
      </c>
      <c r="I173" s="7" t="str">
        <f>IF(Source!S173&lt;&gt;"",Source!S173,IF(Source!C173&lt;&gt;"",Source!C173,""))</f>
        <v/>
      </c>
      <c r="J173" s="7" t="str">
        <f>TRIM(Source!T173&amp;" "&amp;Source!U173&amp;" "&amp;IF(Source!V173="","",Source!V173&amp;"s")&amp;" "&amp;IF(Source!W173="","",Source!W173&amp;"M"))</f>
        <v/>
      </c>
      <c r="K173" s="7" t="str">
        <f>IF(Source!X173="","",Source!X173)</f>
        <v/>
      </c>
      <c r="L173" s="7" t="str">
        <f>IF(Source!Y173="","",Source!Y173)</f>
        <v/>
      </c>
      <c r="M173" s="7" t="str">
        <f>IF(Source!Z173="","",Source!Z173)</f>
        <v/>
      </c>
      <c r="N173" s="7" t="str">
        <f>IF(Source!AA173="","",Source!AA173)</f>
        <v/>
      </c>
      <c r="O173" s="7" t="str">
        <f>IF(Source!AB173="","",Source!AB173)</f>
        <v/>
      </c>
      <c r="P173" s="7" t="str">
        <f>IF(Source!AC173="","",Source!AC173)</f>
        <v/>
      </c>
      <c r="Q173" s="7" t="str">
        <f>IF(Source!AD173="","",TEXT(Source!AD173,"000000000"))</f>
        <v/>
      </c>
      <c r="R173" s="7" t="str">
        <f>IF(Source!AE173="","","physical AIS type "&amp;Source!AE173)</f>
        <v/>
      </c>
      <c r="S173" s="7" t="str">
        <f>IF(Source!AF173="","",IF(LEN(Source!AF173)=1,UPPER(Source!AF173),"yes"))</f>
        <v/>
      </c>
      <c r="T173" s="7" t="str">
        <f>IF(Source!AG173="","",Source!AG173)</f>
        <v/>
      </c>
      <c r="U173" s="7" t="str">
        <f>IF(Source!AH173="","",YEAR(Source!AH173)&amp;"-"&amp;TEXT(MONTH(Source!AH173),"00")&amp;"-"&amp;TEXT(DAY(Source!AH173),"00"))</f>
        <v/>
      </c>
      <c r="V173" s="7" t="str">
        <f>IF(Source!AI173="","",IF(OR(UPPER(Source!AI173)="YES",UPPER(Source!AI173)="Y"),"visually conspicuous",IF(OR(UPPER(Source!AI173)="NO",UPPER(Source!AI173)="N"),"not visually conspicuous",Source!AI173)))</f>
        <v/>
      </c>
      <c r="W173" s="7" t="str">
        <f>IF(Source!AJ173="","",Source!AJ173)</f>
        <v/>
      </c>
    </row>
    <row r="174">
      <c r="A174" s="7" t="str">
        <f>IF(Source!A174="","",Source!A174&amp;"")</f>
        <v/>
      </c>
      <c r="B174" s="7" t="str">
        <f>TRIM(Source!C174&amp;" "&amp;Source!B174&amp;" "&amp;Source!D174)</f>
        <v/>
      </c>
      <c r="C174" s="7" t="str">
        <f>IF(Source!E174="","",Source!E174)</f>
        <v/>
      </c>
      <c r="D174" s="7" t="str">
        <f>IF(Source!F174="","",ROUND(IF(UPPER(Source!I174)="S",-1,1)*(N(Source!F174)+N(Source!G174)/60+N(Source!H174)/3600),7))</f>
        <v/>
      </c>
      <c r="E174" s="7" t="str">
        <f>IF(Source!J174="","",ROUND(IF(UPPER(Source!M174)="W",-1,1)*(N(Source!J174)+N(Source!K174)/60+N(Source!L174)/3600),7))</f>
        <v/>
      </c>
      <c r="F174" s="7" t="str">
        <f>SUBSTITUTE(TRIM(Source!N174&amp;" "&amp;Source!O174&amp;" "&amp;Source!P174)," ","/")</f>
        <v/>
      </c>
      <c r="G174" s="7" t="str">
        <f>IF(Source!Q174="","",Source!Q174)</f>
        <v/>
      </c>
      <c r="H174" s="7" t="str">
        <f>IF(Source!R174="","",Source!R174)</f>
        <v/>
      </c>
      <c r="I174" s="7" t="str">
        <f>IF(Source!S174&lt;&gt;"",Source!S174,IF(Source!C174&lt;&gt;"",Source!C174,""))</f>
        <v/>
      </c>
      <c r="J174" s="7" t="str">
        <f>TRIM(Source!T174&amp;" "&amp;Source!U174&amp;" "&amp;IF(Source!V174="","",Source!V174&amp;"s")&amp;" "&amp;IF(Source!W174="","",Source!W174&amp;"M"))</f>
        <v/>
      </c>
      <c r="K174" s="7" t="str">
        <f>IF(Source!X174="","",Source!X174)</f>
        <v/>
      </c>
      <c r="L174" s="7" t="str">
        <f>IF(Source!Y174="","",Source!Y174)</f>
        <v/>
      </c>
      <c r="M174" s="7" t="str">
        <f>IF(Source!Z174="","",Source!Z174)</f>
        <v/>
      </c>
      <c r="N174" s="7" t="str">
        <f>IF(Source!AA174="","",Source!AA174)</f>
        <v/>
      </c>
      <c r="O174" s="7" t="str">
        <f>IF(Source!AB174="","",Source!AB174)</f>
        <v/>
      </c>
      <c r="P174" s="7" t="str">
        <f>IF(Source!AC174="","",Source!AC174)</f>
        <v/>
      </c>
      <c r="Q174" s="7" t="str">
        <f>IF(Source!AD174="","",TEXT(Source!AD174,"000000000"))</f>
        <v/>
      </c>
      <c r="R174" s="7" t="str">
        <f>IF(Source!AE174="","","physical AIS type "&amp;Source!AE174)</f>
        <v/>
      </c>
      <c r="S174" s="7" t="str">
        <f>IF(Source!AF174="","",IF(LEN(Source!AF174)=1,UPPER(Source!AF174),"yes"))</f>
        <v/>
      </c>
      <c r="T174" s="7" t="str">
        <f>IF(Source!AG174="","",Source!AG174)</f>
        <v/>
      </c>
      <c r="U174" s="7" t="str">
        <f>IF(Source!AH174="","",YEAR(Source!AH174)&amp;"-"&amp;TEXT(MONTH(Source!AH174),"00")&amp;"-"&amp;TEXT(DAY(Source!AH174),"00"))</f>
        <v/>
      </c>
      <c r="V174" s="7" t="str">
        <f>IF(Source!AI174="","",IF(OR(UPPER(Source!AI174)="YES",UPPER(Source!AI174)="Y"),"visually conspicuous",IF(OR(UPPER(Source!AI174)="NO",UPPER(Source!AI174)="N"),"not visually conspicuous",Source!AI174)))</f>
        <v/>
      </c>
      <c r="W174" s="7" t="str">
        <f>IF(Source!AJ174="","",Source!AJ174)</f>
        <v/>
      </c>
    </row>
    <row r="175">
      <c r="A175" s="7" t="str">
        <f>IF(Source!A175="","",Source!A175&amp;"")</f>
        <v/>
      </c>
      <c r="B175" s="7" t="str">
        <f>TRIM(Source!C175&amp;" "&amp;Source!B175&amp;" "&amp;Source!D175)</f>
        <v/>
      </c>
      <c r="C175" s="7" t="str">
        <f>IF(Source!E175="","",Source!E175)</f>
        <v/>
      </c>
      <c r="D175" s="7" t="str">
        <f>IF(Source!F175="","",ROUND(IF(UPPER(Source!I175)="S",-1,1)*(N(Source!F175)+N(Source!G175)/60+N(Source!H175)/3600),7))</f>
        <v/>
      </c>
      <c r="E175" s="7" t="str">
        <f>IF(Source!J175="","",ROUND(IF(UPPER(Source!M175)="W",-1,1)*(N(Source!J175)+N(Source!K175)/60+N(Source!L175)/3600),7))</f>
        <v/>
      </c>
      <c r="F175" s="7" t="str">
        <f>SUBSTITUTE(TRIM(Source!N175&amp;" "&amp;Source!O175&amp;" "&amp;Source!P175)," ","/")</f>
        <v/>
      </c>
      <c r="G175" s="7" t="str">
        <f>IF(Source!Q175="","",Source!Q175)</f>
        <v/>
      </c>
      <c r="H175" s="7" t="str">
        <f>IF(Source!R175="","",Source!R175)</f>
        <v/>
      </c>
      <c r="I175" s="7" t="str">
        <f>IF(Source!S175&lt;&gt;"",Source!S175,IF(Source!C175&lt;&gt;"",Source!C175,""))</f>
        <v/>
      </c>
      <c r="J175" s="7" t="str">
        <f>TRIM(Source!T175&amp;" "&amp;Source!U175&amp;" "&amp;IF(Source!V175="","",Source!V175&amp;"s")&amp;" "&amp;IF(Source!W175="","",Source!W175&amp;"M"))</f>
        <v/>
      </c>
      <c r="K175" s="7" t="str">
        <f>IF(Source!X175="","",Source!X175)</f>
        <v/>
      </c>
      <c r="L175" s="7" t="str">
        <f>IF(Source!Y175="","",Source!Y175)</f>
        <v/>
      </c>
      <c r="M175" s="7" t="str">
        <f>IF(Source!Z175="","",Source!Z175)</f>
        <v/>
      </c>
      <c r="N175" s="7" t="str">
        <f>IF(Source!AA175="","",Source!AA175)</f>
        <v/>
      </c>
      <c r="O175" s="7" t="str">
        <f>IF(Source!AB175="","",Source!AB175)</f>
        <v/>
      </c>
      <c r="P175" s="7" t="str">
        <f>IF(Source!AC175="","",Source!AC175)</f>
        <v/>
      </c>
      <c r="Q175" s="7" t="str">
        <f>IF(Source!AD175="","",TEXT(Source!AD175,"000000000"))</f>
        <v/>
      </c>
      <c r="R175" s="7" t="str">
        <f>IF(Source!AE175="","","physical AIS type "&amp;Source!AE175)</f>
        <v/>
      </c>
      <c r="S175" s="7" t="str">
        <f>IF(Source!AF175="","",IF(LEN(Source!AF175)=1,UPPER(Source!AF175),"yes"))</f>
        <v/>
      </c>
      <c r="T175" s="7" t="str">
        <f>IF(Source!AG175="","",Source!AG175)</f>
        <v/>
      </c>
      <c r="U175" s="7" t="str">
        <f>IF(Source!AH175="","",YEAR(Source!AH175)&amp;"-"&amp;TEXT(MONTH(Source!AH175),"00")&amp;"-"&amp;TEXT(DAY(Source!AH175),"00"))</f>
        <v/>
      </c>
      <c r="V175" s="7" t="str">
        <f>IF(Source!AI175="","",IF(OR(UPPER(Source!AI175)="YES",UPPER(Source!AI175)="Y"),"visually conspicuous",IF(OR(UPPER(Source!AI175)="NO",UPPER(Source!AI175)="N"),"not visually conspicuous",Source!AI175)))</f>
        <v/>
      </c>
      <c r="W175" s="7" t="str">
        <f>IF(Source!AJ175="","",Source!AJ175)</f>
        <v/>
      </c>
    </row>
    <row r="176">
      <c r="A176" s="7" t="str">
        <f>IF(Source!A176="","",Source!A176&amp;"")</f>
        <v/>
      </c>
      <c r="B176" s="7" t="str">
        <f>TRIM(Source!C176&amp;" "&amp;Source!B176&amp;" "&amp;Source!D176)</f>
        <v/>
      </c>
      <c r="C176" s="7" t="str">
        <f>IF(Source!E176="","",Source!E176)</f>
        <v/>
      </c>
      <c r="D176" s="7" t="str">
        <f>IF(Source!F176="","",ROUND(IF(UPPER(Source!I176)="S",-1,1)*(N(Source!F176)+N(Source!G176)/60+N(Source!H176)/3600),7))</f>
        <v/>
      </c>
      <c r="E176" s="7" t="str">
        <f>IF(Source!J176="","",ROUND(IF(UPPER(Source!M176)="W",-1,1)*(N(Source!J176)+N(Source!K176)/60+N(Source!L176)/3600),7))</f>
        <v/>
      </c>
      <c r="F176" s="7" t="str">
        <f>SUBSTITUTE(TRIM(Source!N176&amp;" "&amp;Source!O176&amp;" "&amp;Source!P176)," ","/")</f>
        <v/>
      </c>
      <c r="G176" s="7" t="str">
        <f>IF(Source!Q176="","",Source!Q176)</f>
        <v/>
      </c>
      <c r="H176" s="7" t="str">
        <f>IF(Source!R176="","",Source!R176)</f>
        <v/>
      </c>
      <c r="I176" s="7" t="str">
        <f>IF(Source!S176&lt;&gt;"",Source!S176,IF(Source!C176&lt;&gt;"",Source!C176,""))</f>
        <v/>
      </c>
      <c r="J176" s="7" t="str">
        <f>TRIM(Source!T176&amp;" "&amp;Source!U176&amp;" "&amp;IF(Source!V176="","",Source!V176&amp;"s")&amp;" "&amp;IF(Source!W176="","",Source!W176&amp;"M"))</f>
        <v/>
      </c>
      <c r="K176" s="7" t="str">
        <f>IF(Source!X176="","",Source!X176)</f>
        <v/>
      </c>
      <c r="L176" s="7" t="str">
        <f>IF(Source!Y176="","",Source!Y176)</f>
        <v/>
      </c>
      <c r="M176" s="7" t="str">
        <f>IF(Source!Z176="","",Source!Z176)</f>
        <v/>
      </c>
      <c r="N176" s="7" t="str">
        <f>IF(Source!AA176="","",Source!AA176)</f>
        <v/>
      </c>
      <c r="O176" s="7" t="str">
        <f>IF(Source!AB176="","",Source!AB176)</f>
        <v/>
      </c>
      <c r="P176" s="7" t="str">
        <f>IF(Source!AC176="","",Source!AC176)</f>
        <v/>
      </c>
      <c r="Q176" s="7" t="str">
        <f>IF(Source!AD176="","",TEXT(Source!AD176,"000000000"))</f>
        <v/>
      </c>
      <c r="R176" s="7" t="str">
        <f>IF(Source!AE176="","","physical AIS type "&amp;Source!AE176)</f>
        <v/>
      </c>
      <c r="S176" s="7" t="str">
        <f>IF(Source!AF176="","",IF(LEN(Source!AF176)=1,UPPER(Source!AF176),"yes"))</f>
        <v/>
      </c>
      <c r="T176" s="7" t="str">
        <f>IF(Source!AG176="","",Source!AG176)</f>
        <v/>
      </c>
      <c r="U176" s="7" t="str">
        <f>IF(Source!AH176="","",YEAR(Source!AH176)&amp;"-"&amp;TEXT(MONTH(Source!AH176),"00")&amp;"-"&amp;TEXT(DAY(Source!AH176),"00"))</f>
        <v/>
      </c>
      <c r="V176" s="7" t="str">
        <f>IF(Source!AI176="","",IF(OR(UPPER(Source!AI176)="YES",UPPER(Source!AI176)="Y"),"visually conspicuous",IF(OR(UPPER(Source!AI176)="NO",UPPER(Source!AI176)="N"),"not visually conspicuous",Source!AI176)))</f>
        <v/>
      </c>
      <c r="W176" s="7" t="str">
        <f>IF(Source!AJ176="","",Source!AJ176)</f>
        <v/>
      </c>
    </row>
    <row r="177">
      <c r="A177" s="7" t="str">
        <f>IF(Source!A177="","",Source!A177&amp;"")</f>
        <v/>
      </c>
      <c r="B177" s="7" t="str">
        <f>TRIM(Source!C177&amp;" "&amp;Source!B177&amp;" "&amp;Source!D177)</f>
        <v/>
      </c>
      <c r="C177" s="7" t="str">
        <f>IF(Source!E177="","",Source!E177)</f>
        <v/>
      </c>
      <c r="D177" s="7" t="str">
        <f>IF(Source!F177="","",ROUND(IF(UPPER(Source!I177)="S",-1,1)*(N(Source!F177)+N(Source!G177)/60+N(Source!H177)/3600),7))</f>
        <v/>
      </c>
      <c r="E177" s="7" t="str">
        <f>IF(Source!J177="","",ROUND(IF(UPPER(Source!M177)="W",-1,1)*(N(Source!J177)+N(Source!K177)/60+N(Source!L177)/3600),7))</f>
        <v/>
      </c>
      <c r="F177" s="7" t="str">
        <f>SUBSTITUTE(TRIM(Source!N177&amp;" "&amp;Source!O177&amp;" "&amp;Source!P177)," ","/")</f>
        <v/>
      </c>
      <c r="G177" s="7" t="str">
        <f>IF(Source!Q177="","",Source!Q177)</f>
        <v/>
      </c>
      <c r="H177" s="7" t="str">
        <f>IF(Source!R177="","",Source!R177)</f>
        <v/>
      </c>
      <c r="I177" s="7" t="str">
        <f>IF(Source!S177&lt;&gt;"",Source!S177,IF(Source!C177&lt;&gt;"",Source!C177,""))</f>
        <v/>
      </c>
      <c r="J177" s="7" t="str">
        <f>TRIM(Source!T177&amp;" "&amp;Source!U177&amp;" "&amp;IF(Source!V177="","",Source!V177&amp;"s")&amp;" "&amp;IF(Source!W177="","",Source!W177&amp;"M"))</f>
        <v/>
      </c>
      <c r="K177" s="7" t="str">
        <f>IF(Source!X177="","",Source!X177)</f>
        <v/>
      </c>
      <c r="L177" s="7" t="str">
        <f>IF(Source!Y177="","",Source!Y177)</f>
        <v/>
      </c>
      <c r="M177" s="7" t="str">
        <f>IF(Source!Z177="","",Source!Z177)</f>
        <v/>
      </c>
      <c r="N177" s="7" t="str">
        <f>IF(Source!AA177="","",Source!AA177)</f>
        <v/>
      </c>
      <c r="O177" s="7" t="str">
        <f>IF(Source!AB177="","",Source!AB177)</f>
        <v/>
      </c>
      <c r="P177" s="7" t="str">
        <f>IF(Source!AC177="","",Source!AC177)</f>
        <v/>
      </c>
      <c r="Q177" s="7" t="str">
        <f>IF(Source!AD177="","",TEXT(Source!AD177,"000000000"))</f>
        <v/>
      </c>
      <c r="R177" s="7" t="str">
        <f>IF(Source!AE177="","","physical AIS type "&amp;Source!AE177)</f>
        <v/>
      </c>
      <c r="S177" s="7" t="str">
        <f>IF(Source!AF177="","",IF(LEN(Source!AF177)=1,UPPER(Source!AF177),"yes"))</f>
        <v/>
      </c>
      <c r="T177" s="7" t="str">
        <f>IF(Source!AG177="","",Source!AG177)</f>
        <v/>
      </c>
      <c r="U177" s="7" t="str">
        <f>IF(Source!AH177="","",YEAR(Source!AH177)&amp;"-"&amp;TEXT(MONTH(Source!AH177),"00")&amp;"-"&amp;TEXT(DAY(Source!AH177),"00"))</f>
        <v/>
      </c>
      <c r="V177" s="7" t="str">
        <f>IF(Source!AI177="","",IF(OR(UPPER(Source!AI177)="YES",UPPER(Source!AI177)="Y"),"visually conspicuous",IF(OR(UPPER(Source!AI177)="NO",UPPER(Source!AI177)="N"),"not visually conspicuous",Source!AI177)))</f>
        <v/>
      </c>
      <c r="W177" s="7" t="str">
        <f>IF(Source!AJ177="","",Source!AJ177)</f>
        <v/>
      </c>
    </row>
    <row r="178">
      <c r="A178" s="7" t="str">
        <f>IF(Source!A178="","",Source!A178&amp;"")</f>
        <v/>
      </c>
      <c r="B178" s="7" t="str">
        <f>TRIM(Source!C178&amp;" "&amp;Source!B178&amp;" "&amp;Source!D178)</f>
        <v/>
      </c>
      <c r="C178" s="7" t="str">
        <f>IF(Source!E178="","",Source!E178)</f>
        <v/>
      </c>
      <c r="D178" s="7" t="str">
        <f>IF(Source!F178="","",ROUND(IF(UPPER(Source!I178)="S",-1,1)*(N(Source!F178)+N(Source!G178)/60+N(Source!H178)/3600),7))</f>
        <v/>
      </c>
      <c r="E178" s="7" t="str">
        <f>IF(Source!J178="","",ROUND(IF(UPPER(Source!M178)="W",-1,1)*(N(Source!J178)+N(Source!K178)/60+N(Source!L178)/3600),7))</f>
        <v/>
      </c>
      <c r="F178" s="7" t="str">
        <f>SUBSTITUTE(TRIM(Source!N178&amp;" "&amp;Source!O178&amp;" "&amp;Source!P178)," ","/")</f>
        <v/>
      </c>
      <c r="G178" s="7" t="str">
        <f>IF(Source!Q178="","",Source!Q178)</f>
        <v/>
      </c>
      <c r="H178" s="7" t="str">
        <f>IF(Source!R178="","",Source!R178)</f>
        <v/>
      </c>
      <c r="I178" s="7" t="str">
        <f>IF(Source!S178&lt;&gt;"",Source!S178,IF(Source!C178&lt;&gt;"",Source!C178,""))</f>
        <v/>
      </c>
      <c r="J178" s="7" t="str">
        <f>TRIM(Source!T178&amp;" "&amp;Source!U178&amp;" "&amp;IF(Source!V178="","",Source!V178&amp;"s")&amp;" "&amp;IF(Source!W178="","",Source!W178&amp;"M"))</f>
        <v/>
      </c>
      <c r="K178" s="7" t="str">
        <f>IF(Source!X178="","",Source!X178)</f>
        <v/>
      </c>
      <c r="L178" s="7" t="str">
        <f>IF(Source!Y178="","",Source!Y178)</f>
        <v/>
      </c>
      <c r="M178" s="7" t="str">
        <f>IF(Source!Z178="","",Source!Z178)</f>
        <v/>
      </c>
      <c r="N178" s="7" t="str">
        <f>IF(Source!AA178="","",Source!AA178)</f>
        <v/>
      </c>
      <c r="O178" s="7" t="str">
        <f>IF(Source!AB178="","",Source!AB178)</f>
        <v/>
      </c>
      <c r="P178" s="7" t="str">
        <f>IF(Source!AC178="","",Source!AC178)</f>
        <v/>
      </c>
      <c r="Q178" s="7" t="str">
        <f>IF(Source!AD178="","",TEXT(Source!AD178,"000000000"))</f>
        <v/>
      </c>
      <c r="R178" s="7" t="str">
        <f>IF(Source!AE178="","","physical AIS type "&amp;Source!AE178)</f>
        <v/>
      </c>
      <c r="S178" s="7" t="str">
        <f>IF(Source!AF178="","",IF(LEN(Source!AF178)=1,UPPER(Source!AF178),"yes"))</f>
        <v/>
      </c>
      <c r="T178" s="7" t="str">
        <f>IF(Source!AG178="","",Source!AG178)</f>
        <v/>
      </c>
      <c r="U178" s="7" t="str">
        <f>IF(Source!AH178="","",YEAR(Source!AH178)&amp;"-"&amp;TEXT(MONTH(Source!AH178),"00")&amp;"-"&amp;TEXT(DAY(Source!AH178),"00"))</f>
        <v/>
      </c>
      <c r="V178" s="7" t="str">
        <f>IF(Source!AI178="","",IF(OR(UPPER(Source!AI178)="YES",UPPER(Source!AI178)="Y"),"visually conspicuous",IF(OR(UPPER(Source!AI178)="NO",UPPER(Source!AI178)="N"),"not visually conspicuous",Source!AI178)))</f>
        <v/>
      </c>
      <c r="W178" s="7" t="str">
        <f>IF(Source!AJ178="","",Source!AJ178)</f>
        <v/>
      </c>
    </row>
    <row r="179">
      <c r="A179" s="7" t="str">
        <f>IF(Source!A179="","",Source!A179&amp;"")</f>
        <v/>
      </c>
      <c r="B179" s="7" t="str">
        <f>TRIM(Source!C179&amp;" "&amp;Source!B179&amp;" "&amp;Source!D179)</f>
        <v/>
      </c>
      <c r="C179" s="7" t="str">
        <f>IF(Source!E179="","",Source!E179)</f>
        <v/>
      </c>
      <c r="D179" s="7" t="str">
        <f>IF(Source!F179="","",ROUND(IF(UPPER(Source!I179)="S",-1,1)*(N(Source!F179)+N(Source!G179)/60+N(Source!H179)/3600),7))</f>
        <v/>
      </c>
      <c r="E179" s="7" t="str">
        <f>IF(Source!J179="","",ROUND(IF(UPPER(Source!M179)="W",-1,1)*(N(Source!J179)+N(Source!K179)/60+N(Source!L179)/3600),7))</f>
        <v/>
      </c>
      <c r="F179" s="7" t="str">
        <f>SUBSTITUTE(TRIM(Source!N179&amp;" "&amp;Source!O179&amp;" "&amp;Source!P179)," ","/")</f>
        <v/>
      </c>
      <c r="G179" s="7" t="str">
        <f>IF(Source!Q179="","",Source!Q179)</f>
        <v/>
      </c>
      <c r="H179" s="7" t="str">
        <f>IF(Source!R179="","",Source!R179)</f>
        <v/>
      </c>
      <c r="I179" s="7" t="str">
        <f>IF(Source!S179&lt;&gt;"",Source!S179,IF(Source!C179&lt;&gt;"",Source!C179,""))</f>
        <v/>
      </c>
      <c r="J179" s="7" t="str">
        <f>TRIM(Source!T179&amp;" "&amp;Source!U179&amp;" "&amp;IF(Source!V179="","",Source!V179&amp;"s")&amp;" "&amp;IF(Source!W179="","",Source!W179&amp;"M"))</f>
        <v/>
      </c>
      <c r="K179" s="7" t="str">
        <f>IF(Source!X179="","",Source!X179)</f>
        <v/>
      </c>
      <c r="L179" s="7" t="str">
        <f>IF(Source!Y179="","",Source!Y179)</f>
        <v/>
      </c>
      <c r="M179" s="7" t="str">
        <f>IF(Source!Z179="","",Source!Z179)</f>
        <v/>
      </c>
      <c r="N179" s="7" t="str">
        <f>IF(Source!AA179="","",Source!AA179)</f>
        <v/>
      </c>
      <c r="O179" s="7" t="str">
        <f>IF(Source!AB179="","",Source!AB179)</f>
        <v/>
      </c>
      <c r="P179" s="7" t="str">
        <f>IF(Source!AC179="","",Source!AC179)</f>
        <v/>
      </c>
      <c r="Q179" s="7" t="str">
        <f>IF(Source!AD179="","",TEXT(Source!AD179,"000000000"))</f>
        <v/>
      </c>
      <c r="R179" s="7" t="str">
        <f>IF(Source!AE179="","","physical AIS type "&amp;Source!AE179)</f>
        <v/>
      </c>
      <c r="S179" s="7" t="str">
        <f>IF(Source!AF179="","",IF(LEN(Source!AF179)=1,UPPER(Source!AF179),"yes"))</f>
        <v/>
      </c>
      <c r="T179" s="7" t="str">
        <f>IF(Source!AG179="","",Source!AG179)</f>
        <v/>
      </c>
      <c r="U179" s="7" t="str">
        <f>IF(Source!AH179="","",YEAR(Source!AH179)&amp;"-"&amp;TEXT(MONTH(Source!AH179),"00")&amp;"-"&amp;TEXT(DAY(Source!AH179),"00"))</f>
        <v/>
      </c>
      <c r="V179" s="7" t="str">
        <f>IF(Source!AI179="","",IF(OR(UPPER(Source!AI179)="YES",UPPER(Source!AI179)="Y"),"visually conspicuous",IF(OR(UPPER(Source!AI179)="NO",UPPER(Source!AI179)="N"),"not visually conspicuous",Source!AI179)))</f>
        <v/>
      </c>
      <c r="W179" s="7" t="str">
        <f>IF(Source!AJ179="","",Source!AJ179)</f>
        <v/>
      </c>
    </row>
    <row r="180">
      <c r="A180" s="7" t="str">
        <f>IF(Source!A180="","",Source!A180&amp;"")</f>
        <v/>
      </c>
      <c r="B180" s="7" t="str">
        <f>TRIM(Source!C180&amp;" "&amp;Source!B180&amp;" "&amp;Source!D180)</f>
        <v/>
      </c>
      <c r="C180" s="7" t="str">
        <f>IF(Source!E180="","",Source!E180)</f>
        <v/>
      </c>
      <c r="D180" s="7" t="str">
        <f>IF(Source!F180="","",ROUND(IF(UPPER(Source!I180)="S",-1,1)*(N(Source!F180)+N(Source!G180)/60+N(Source!H180)/3600),7))</f>
        <v/>
      </c>
      <c r="E180" s="7" t="str">
        <f>IF(Source!J180="","",ROUND(IF(UPPER(Source!M180)="W",-1,1)*(N(Source!J180)+N(Source!K180)/60+N(Source!L180)/3600),7))</f>
        <v/>
      </c>
      <c r="F180" s="7" t="str">
        <f>SUBSTITUTE(TRIM(Source!N180&amp;" "&amp;Source!O180&amp;" "&amp;Source!P180)," ","/")</f>
        <v/>
      </c>
      <c r="G180" s="7" t="str">
        <f>IF(Source!Q180="","",Source!Q180)</f>
        <v/>
      </c>
      <c r="H180" s="7" t="str">
        <f>IF(Source!R180="","",Source!R180)</f>
        <v/>
      </c>
      <c r="I180" s="7" t="str">
        <f>IF(Source!S180&lt;&gt;"",Source!S180,IF(Source!C180&lt;&gt;"",Source!C180,""))</f>
        <v/>
      </c>
      <c r="J180" s="7" t="str">
        <f>TRIM(Source!T180&amp;" "&amp;Source!U180&amp;" "&amp;IF(Source!V180="","",Source!V180&amp;"s")&amp;" "&amp;IF(Source!W180="","",Source!W180&amp;"M"))</f>
        <v/>
      </c>
      <c r="K180" s="7" t="str">
        <f>IF(Source!X180="","",Source!X180)</f>
        <v/>
      </c>
      <c r="L180" s="7" t="str">
        <f>IF(Source!Y180="","",Source!Y180)</f>
        <v/>
      </c>
      <c r="M180" s="7" t="str">
        <f>IF(Source!Z180="","",Source!Z180)</f>
        <v/>
      </c>
      <c r="N180" s="7" t="str">
        <f>IF(Source!AA180="","",Source!AA180)</f>
        <v/>
      </c>
      <c r="O180" s="7" t="str">
        <f>IF(Source!AB180="","",Source!AB180)</f>
        <v/>
      </c>
      <c r="P180" s="7" t="str">
        <f>IF(Source!AC180="","",Source!AC180)</f>
        <v/>
      </c>
      <c r="Q180" s="7" t="str">
        <f>IF(Source!AD180="","",TEXT(Source!AD180,"000000000"))</f>
        <v/>
      </c>
      <c r="R180" s="7" t="str">
        <f>IF(Source!AE180="","","physical AIS type "&amp;Source!AE180)</f>
        <v/>
      </c>
      <c r="S180" s="7" t="str">
        <f>IF(Source!AF180="","",IF(LEN(Source!AF180)=1,UPPER(Source!AF180),"yes"))</f>
        <v/>
      </c>
      <c r="T180" s="7" t="str">
        <f>IF(Source!AG180="","",Source!AG180)</f>
        <v/>
      </c>
      <c r="U180" s="7" t="str">
        <f>IF(Source!AH180="","",YEAR(Source!AH180)&amp;"-"&amp;TEXT(MONTH(Source!AH180),"00")&amp;"-"&amp;TEXT(DAY(Source!AH180),"00"))</f>
        <v/>
      </c>
      <c r="V180" s="7" t="str">
        <f>IF(Source!AI180="","",IF(OR(UPPER(Source!AI180)="YES",UPPER(Source!AI180)="Y"),"visually conspicuous",IF(OR(UPPER(Source!AI180)="NO",UPPER(Source!AI180)="N"),"not visually conspicuous",Source!AI180)))</f>
        <v/>
      </c>
      <c r="W180" s="7" t="str">
        <f>IF(Source!AJ180="","",Source!AJ180)</f>
        <v/>
      </c>
    </row>
    <row r="181">
      <c r="A181" s="7" t="str">
        <f>IF(Source!A181="","",Source!A181&amp;"")</f>
        <v/>
      </c>
      <c r="B181" s="7" t="str">
        <f>TRIM(Source!C181&amp;" "&amp;Source!B181&amp;" "&amp;Source!D181)</f>
        <v/>
      </c>
      <c r="C181" s="7" t="str">
        <f>IF(Source!E181="","",Source!E181)</f>
        <v/>
      </c>
      <c r="D181" s="7" t="str">
        <f>IF(Source!F181="","",ROUND(IF(UPPER(Source!I181)="S",-1,1)*(N(Source!F181)+N(Source!G181)/60+N(Source!H181)/3600),7))</f>
        <v/>
      </c>
      <c r="E181" s="7" t="str">
        <f>IF(Source!J181="","",ROUND(IF(UPPER(Source!M181)="W",-1,1)*(N(Source!J181)+N(Source!K181)/60+N(Source!L181)/3600),7))</f>
        <v/>
      </c>
      <c r="F181" s="7" t="str">
        <f>SUBSTITUTE(TRIM(Source!N181&amp;" "&amp;Source!O181&amp;" "&amp;Source!P181)," ","/")</f>
        <v/>
      </c>
      <c r="G181" s="7" t="str">
        <f>IF(Source!Q181="","",Source!Q181)</f>
        <v/>
      </c>
      <c r="H181" s="7" t="str">
        <f>IF(Source!R181="","",Source!R181)</f>
        <v/>
      </c>
      <c r="I181" s="7" t="str">
        <f>IF(Source!S181&lt;&gt;"",Source!S181,IF(Source!C181&lt;&gt;"",Source!C181,""))</f>
        <v/>
      </c>
      <c r="J181" s="7" t="str">
        <f>TRIM(Source!T181&amp;" "&amp;Source!U181&amp;" "&amp;IF(Source!V181="","",Source!V181&amp;"s")&amp;" "&amp;IF(Source!W181="","",Source!W181&amp;"M"))</f>
        <v/>
      </c>
      <c r="K181" s="7" t="str">
        <f>IF(Source!X181="","",Source!X181)</f>
        <v/>
      </c>
      <c r="L181" s="7" t="str">
        <f>IF(Source!Y181="","",Source!Y181)</f>
        <v/>
      </c>
      <c r="M181" s="7" t="str">
        <f>IF(Source!Z181="","",Source!Z181)</f>
        <v/>
      </c>
      <c r="N181" s="7" t="str">
        <f>IF(Source!AA181="","",Source!AA181)</f>
        <v/>
      </c>
      <c r="O181" s="7" t="str">
        <f>IF(Source!AB181="","",Source!AB181)</f>
        <v/>
      </c>
      <c r="P181" s="7" t="str">
        <f>IF(Source!AC181="","",Source!AC181)</f>
        <v/>
      </c>
      <c r="Q181" s="7" t="str">
        <f>IF(Source!AD181="","",TEXT(Source!AD181,"000000000"))</f>
        <v/>
      </c>
      <c r="R181" s="7" t="str">
        <f>IF(Source!AE181="","","physical AIS type "&amp;Source!AE181)</f>
        <v/>
      </c>
      <c r="S181" s="7" t="str">
        <f>IF(Source!AF181="","",IF(LEN(Source!AF181)=1,UPPER(Source!AF181),"yes"))</f>
        <v/>
      </c>
      <c r="T181" s="7" t="str">
        <f>IF(Source!AG181="","",Source!AG181)</f>
        <v/>
      </c>
      <c r="U181" s="7" t="str">
        <f>IF(Source!AH181="","",YEAR(Source!AH181)&amp;"-"&amp;TEXT(MONTH(Source!AH181),"00")&amp;"-"&amp;TEXT(DAY(Source!AH181),"00"))</f>
        <v/>
      </c>
      <c r="V181" s="7" t="str">
        <f>IF(Source!AI181="","",IF(OR(UPPER(Source!AI181)="YES",UPPER(Source!AI181)="Y"),"visually conspicuous",IF(OR(UPPER(Source!AI181)="NO",UPPER(Source!AI181)="N"),"not visually conspicuous",Source!AI181)))</f>
        <v/>
      </c>
      <c r="W181" s="7" t="str">
        <f>IF(Source!AJ181="","",Source!AJ181)</f>
        <v/>
      </c>
    </row>
    <row r="182">
      <c r="A182" s="7" t="str">
        <f>IF(Source!A182="","",Source!A182&amp;"")</f>
        <v/>
      </c>
      <c r="B182" s="7" t="str">
        <f>TRIM(Source!C182&amp;" "&amp;Source!B182&amp;" "&amp;Source!D182)</f>
        <v/>
      </c>
      <c r="C182" s="7" t="str">
        <f>IF(Source!E182="","",Source!E182)</f>
        <v/>
      </c>
      <c r="D182" s="7" t="str">
        <f>IF(Source!F182="","",ROUND(IF(UPPER(Source!I182)="S",-1,1)*(N(Source!F182)+N(Source!G182)/60+N(Source!H182)/3600),7))</f>
        <v/>
      </c>
      <c r="E182" s="7" t="str">
        <f>IF(Source!J182="","",ROUND(IF(UPPER(Source!M182)="W",-1,1)*(N(Source!J182)+N(Source!K182)/60+N(Source!L182)/3600),7))</f>
        <v/>
      </c>
      <c r="F182" s="7" t="str">
        <f>SUBSTITUTE(TRIM(Source!N182&amp;" "&amp;Source!O182&amp;" "&amp;Source!P182)," ","/")</f>
        <v/>
      </c>
      <c r="G182" s="7" t="str">
        <f>IF(Source!Q182="","",Source!Q182)</f>
        <v/>
      </c>
      <c r="H182" s="7" t="str">
        <f>IF(Source!R182="","",Source!R182)</f>
        <v/>
      </c>
      <c r="I182" s="7" t="str">
        <f>IF(Source!S182&lt;&gt;"",Source!S182,IF(Source!C182&lt;&gt;"",Source!C182,""))</f>
        <v/>
      </c>
      <c r="J182" s="7" t="str">
        <f>TRIM(Source!T182&amp;" "&amp;Source!U182&amp;" "&amp;IF(Source!V182="","",Source!V182&amp;"s")&amp;" "&amp;IF(Source!W182="","",Source!W182&amp;"M"))</f>
        <v/>
      </c>
      <c r="K182" s="7" t="str">
        <f>IF(Source!X182="","",Source!X182)</f>
        <v/>
      </c>
      <c r="L182" s="7" t="str">
        <f>IF(Source!Y182="","",Source!Y182)</f>
        <v/>
      </c>
      <c r="M182" s="7" t="str">
        <f>IF(Source!Z182="","",Source!Z182)</f>
        <v/>
      </c>
      <c r="N182" s="7" t="str">
        <f>IF(Source!AA182="","",Source!AA182)</f>
        <v/>
      </c>
      <c r="O182" s="7" t="str">
        <f>IF(Source!AB182="","",Source!AB182)</f>
        <v/>
      </c>
      <c r="P182" s="7" t="str">
        <f>IF(Source!AC182="","",Source!AC182)</f>
        <v/>
      </c>
      <c r="Q182" s="7" t="str">
        <f>IF(Source!AD182="","",TEXT(Source!AD182,"000000000"))</f>
        <v/>
      </c>
      <c r="R182" s="7" t="str">
        <f>IF(Source!AE182="","","physical AIS type "&amp;Source!AE182)</f>
        <v/>
      </c>
      <c r="S182" s="7" t="str">
        <f>IF(Source!AF182="","",IF(LEN(Source!AF182)=1,UPPER(Source!AF182),"yes"))</f>
        <v/>
      </c>
      <c r="T182" s="7" t="str">
        <f>IF(Source!AG182="","",Source!AG182)</f>
        <v/>
      </c>
      <c r="U182" s="7" t="str">
        <f>IF(Source!AH182="","",YEAR(Source!AH182)&amp;"-"&amp;TEXT(MONTH(Source!AH182),"00")&amp;"-"&amp;TEXT(DAY(Source!AH182),"00"))</f>
        <v/>
      </c>
      <c r="V182" s="7" t="str">
        <f>IF(Source!AI182="","",IF(OR(UPPER(Source!AI182)="YES",UPPER(Source!AI182)="Y"),"visually conspicuous",IF(OR(UPPER(Source!AI182)="NO",UPPER(Source!AI182)="N"),"not visually conspicuous",Source!AI182)))</f>
        <v/>
      </c>
      <c r="W182" s="7" t="str">
        <f>IF(Source!AJ182="","",Source!AJ182)</f>
        <v/>
      </c>
    </row>
    <row r="183">
      <c r="A183" s="7" t="str">
        <f>IF(Source!A183="","",Source!A183&amp;"")</f>
        <v/>
      </c>
      <c r="B183" s="7" t="str">
        <f>TRIM(Source!C183&amp;" "&amp;Source!B183&amp;" "&amp;Source!D183)</f>
        <v/>
      </c>
      <c r="C183" s="7" t="str">
        <f>IF(Source!E183="","",Source!E183)</f>
        <v/>
      </c>
      <c r="D183" s="7" t="str">
        <f>IF(Source!F183="","",ROUND(IF(UPPER(Source!I183)="S",-1,1)*(N(Source!F183)+N(Source!G183)/60+N(Source!H183)/3600),7))</f>
        <v/>
      </c>
      <c r="E183" s="7" t="str">
        <f>IF(Source!J183="","",ROUND(IF(UPPER(Source!M183)="W",-1,1)*(N(Source!J183)+N(Source!K183)/60+N(Source!L183)/3600),7))</f>
        <v/>
      </c>
      <c r="F183" s="7" t="str">
        <f>SUBSTITUTE(TRIM(Source!N183&amp;" "&amp;Source!O183&amp;" "&amp;Source!P183)," ","/")</f>
        <v/>
      </c>
      <c r="G183" s="7" t="str">
        <f>IF(Source!Q183="","",Source!Q183)</f>
        <v/>
      </c>
      <c r="H183" s="7" t="str">
        <f>IF(Source!R183="","",Source!R183)</f>
        <v/>
      </c>
      <c r="I183" s="7" t="str">
        <f>IF(Source!S183&lt;&gt;"",Source!S183,IF(Source!C183&lt;&gt;"",Source!C183,""))</f>
        <v/>
      </c>
      <c r="J183" s="7" t="str">
        <f>TRIM(Source!T183&amp;" "&amp;Source!U183&amp;" "&amp;IF(Source!V183="","",Source!V183&amp;"s")&amp;" "&amp;IF(Source!W183="","",Source!W183&amp;"M"))</f>
        <v/>
      </c>
      <c r="K183" s="7" t="str">
        <f>IF(Source!X183="","",Source!X183)</f>
        <v/>
      </c>
      <c r="L183" s="7" t="str">
        <f>IF(Source!Y183="","",Source!Y183)</f>
        <v/>
      </c>
      <c r="M183" s="7" t="str">
        <f>IF(Source!Z183="","",Source!Z183)</f>
        <v/>
      </c>
      <c r="N183" s="7" t="str">
        <f>IF(Source!AA183="","",Source!AA183)</f>
        <v/>
      </c>
      <c r="O183" s="7" t="str">
        <f>IF(Source!AB183="","",Source!AB183)</f>
        <v/>
      </c>
      <c r="P183" s="7" t="str">
        <f>IF(Source!AC183="","",Source!AC183)</f>
        <v/>
      </c>
      <c r="Q183" s="7" t="str">
        <f>IF(Source!AD183="","",TEXT(Source!AD183,"000000000"))</f>
        <v/>
      </c>
      <c r="R183" s="7" t="str">
        <f>IF(Source!AE183="","","physical AIS type "&amp;Source!AE183)</f>
        <v/>
      </c>
      <c r="S183" s="7" t="str">
        <f>IF(Source!AF183="","",IF(LEN(Source!AF183)=1,UPPER(Source!AF183),"yes"))</f>
        <v/>
      </c>
      <c r="T183" s="7" t="str">
        <f>IF(Source!AG183="","",Source!AG183)</f>
        <v/>
      </c>
      <c r="U183" s="7" t="str">
        <f>IF(Source!AH183="","",YEAR(Source!AH183)&amp;"-"&amp;TEXT(MONTH(Source!AH183),"00")&amp;"-"&amp;TEXT(DAY(Source!AH183),"00"))</f>
        <v/>
      </c>
      <c r="V183" s="7" t="str">
        <f>IF(Source!AI183="","",IF(OR(UPPER(Source!AI183)="YES",UPPER(Source!AI183)="Y"),"visually conspicuous",IF(OR(UPPER(Source!AI183)="NO",UPPER(Source!AI183)="N"),"not visually conspicuous",Source!AI183)))</f>
        <v/>
      </c>
      <c r="W183" s="7" t="str">
        <f>IF(Source!AJ183="","",Source!AJ183)</f>
        <v/>
      </c>
    </row>
    <row r="184">
      <c r="A184" s="7" t="str">
        <f>IF(Source!A184="","",Source!A184&amp;"")</f>
        <v/>
      </c>
      <c r="B184" s="7" t="str">
        <f>TRIM(Source!C184&amp;" "&amp;Source!B184&amp;" "&amp;Source!D184)</f>
        <v/>
      </c>
      <c r="C184" s="7" t="str">
        <f>IF(Source!E184="","",Source!E184)</f>
        <v/>
      </c>
      <c r="D184" s="7" t="str">
        <f>IF(Source!F184="","",ROUND(IF(UPPER(Source!I184)="S",-1,1)*(N(Source!F184)+N(Source!G184)/60+N(Source!H184)/3600),7))</f>
        <v/>
      </c>
      <c r="E184" s="7" t="str">
        <f>IF(Source!J184="","",ROUND(IF(UPPER(Source!M184)="W",-1,1)*(N(Source!J184)+N(Source!K184)/60+N(Source!L184)/3600),7))</f>
        <v/>
      </c>
      <c r="F184" s="7" t="str">
        <f>SUBSTITUTE(TRIM(Source!N184&amp;" "&amp;Source!O184&amp;" "&amp;Source!P184)," ","/")</f>
        <v/>
      </c>
      <c r="G184" s="7" t="str">
        <f>IF(Source!Q184="","",Source!Q184)</f>
        <v/>
      </c>
      <c r="H184" s="7" t="str">
        <f>IF(Source!R184="","",Source!R184)</f>
        <v/>
      </c>
      <c r="I184" s="7" t="str">
        <f>IF(Source!S184&lt;&gt;"",Source!S184,IF(Source!C184&lt;&gt;"",Source!C184,""))</f>
        <v/>
      </c>
      <c r="J184" s="7" t="str">
        <f>TRIM(Source!T184&amp;" "&amp;Source!U184&amp;" "&amp;IF(Source!V184="","",Source!V184&amp;"s")&amp;" "&amp;IF(Source!W184="","",Source!W184&amp;"M"))</f>
        <v/>
      </c>
      <c r="K184" s="7" t="str">
        <f>IF(Source!X184="","",Source!X184)</f>
        <v/>
      </c>
      <c r="L184" s="7" t="str">
        <f>IF(Source!Y184="","",Source!Y184)</f>
        <v/>
      </c>
      <c r="M184" s="7" t="str">
        <f>IF(Source!Z184="","",Source!Z184)</f>
        <v/>
      </c>
      <c r="N184" s="7" t="str">
        <f>IF(Source!AA184="","",Source!AA184)</f>
        <v/>
      </c>
      <c r="O184" s="7" t="str">
        <f>IF(Source!AB184="","",Source!AB184)</f>
        <v/>
      </c>
      <c r="P184" s="7" t="str">
        <f>IF(Source!AC184="","",Source!AC184)</f>
        <v/>
      </c>
      <c r="Q184" s="7" t="str">
        <f>IF(Source!AD184="","",TEXT(Source!AD184,"000000000"))</f>
        <v/>
      </c>
      <c r="R184" s="7" t="str">
        <f>IF(Source!AE184="","","physical AIS type "&amp;Source!AE184)</f>
        <v/>
      </c>
      <c r="S184" s="7" t="str">
        <f>IF(Source!AF184="","",IF(LEN(Source!AF184)=1,UPPER(Source!AF184),"yes"))</f>
        <v/>
      </c>
      <c r="T184" s="7" t="str">
        <f>IF(Source!AG184="","",Source!AG184)</f>
        <v/>
      </c>
      <c r="U184" s="7" t="str">
        <f>IF(Source!AH184="","",YEAR(Source!AH184)&amp;"-"&amp;TEXT(MONTH(Source!AH184),"00")&amp;"-"&amp;TEXT(DAY(Source!AH184),"00"))</f>
        <v/>
      </c>
      <c r="V184" s="7" t="str">
        <f>IF(Source!AI184="","",IF(OR(UPPER(Source!AI184)="YES",UPPER(Source!AI184)="Y"),"visually conspicuous",IF(OR(UPPER(Source!AI184)="NO",UPPER(Source!AI184)="N"),"not visually conspicuous",Source!AI184)))</f>
        <v/>
      </c>
      <c r="W184" s="7" t="str">
        <f>IF(Source!AJ184="","",Source!AJ184)</f>
        <v/>
      </c>
    </row>
    <row r="185">
      <c r="A185" s="7" t="str">
        <f>IF(Source!A185="","",Source!A185&amp;"")</f>
        <v/>
      </c>
      <c r="B185" s="7" t="str">
        <f>TRIM(Source!C185&amp;" "&amp;Source!B185&amp;" "&amp;Source!D185)</f>
        <v/>
      </c>
      <c r="C185" s="7" t="str">
        <f>IF(Source!E185="","",Source!E185)</f>
        <v/>
      </c>
      <c r="D185" s="7" t="str">
        <f>IF(Source!F185="","",ROUND(IF(UPPER(Source!I185)="S",-1,1)*(N(Source!F185)+N(Source!G185)/60+N(Source!H185)/3600),7))</f>
        <v/>
      </c>
      <c r="E185" s="7" t="str">
        <f>IF(Source!J185="","",ROUND(IF(UPPER(Source!M185)="W",-1,1)*(N(Source!J185)+N(Source!K185)/60+N(Source!L185)/3600),7))</f>
        <v/>
      </c>
      <c r="F185" s="7" t="str">
        <f>SUBSTITUTE(TRIM(Source!N185&amp;" "&amp;Source!O185&amp;" "&amp;Source!P185)," ","/")</f>
        <v/>
      </c>
      <c r="G185" s="7" t="str">
        <f>IF(Source!Q185="","",Source!Q185)</f>
        <v/>
      </c>
      <c r="H185" s="7" t="str">
        <f>IF(Source!R185="","",Source!R185)</f>
        <v/>
      </c>
      <c r="I185" s="7" t="str">
        <f>IF(Source!S185&lt;&gt;"",Source!S185,IF(Source!C185&lt;&gt;"",Source!C185,""))</f>
        <v/>
      </c>
      <c r="J185" s="7" t="str">
        <f>TRIM(Source!T185&amp;" "&amp;Source!U185&amp;" "&amp;IF(Source!V185="","",Source!V185&amp;"s")&amp;" "&amp;IF(Source!W185="","",Source!W185&amp;"M"))</f>
        <v/>
      </c>
      <c r="K185" s="7" t="str">
        <f>IF(Source!X185="","",Source!X185)</f>
        <v/>
      </c>
      <c r="L185" s="7" t="str">
        <f>IF(Source!Y185="","",Source!Y185)</f>
        <v/>
      </c>
      <c r="M185" s="7" t="str">
        <f>IF(Source!Z185="","",Source!Z185)</f>
        <v/>
      </c>
      <c r="N185" s="7" t="str">
        <f>IF(Source!AA185="","",Source!AA185)</f>
        <v/>
      </c>
      <c r="O185" s="7" t="str">
        <f>IF(Source!AB185="","",Source!AB185)</f>
        <v/>
      </c>
      <c r="P185" s="7" t="str">
        <f>IF(Source!AC185="","",Source!AC185)</f>
        <v/>
      </c>
      <c r="Q185" s="7" t="str">
        <f>IF(Source!AD185="","",TEXT(Source!AD185,"000000000"))</f>
        <v/>
      </c>
      <c r="R185" s="7" t="str">
        <f>IF(Source!AE185="","","physical AIS type "&amp;Source!AE185)</f>
        <v/>
      </c>
      <c r="S185" s="7" t="str">
        <f>IF(Source!AF185="","",IF(LEN(Source!AF185)=1,UPPER(Source!AF185),"yes"))</f>
        <v/>
      </c>
      <c r="T185" s="7" t="str">
        <f>IF(Source!AG185="","",Source!AG185)</f>
        <v/>
      </c>
      <c r="U185" s="7" t="str">
        <f>IF(Source!AH185="","",YEAR(Source!AH185)&amp;"-"&amp;TEXT(MONTH(Source!AH185),"00")&amp;"-"&amp;TEXT(DAY(Source!AH185),"00"))</f>
        <v/>
      </c>
      <c r="V185" s="7" t="str">
        <f>IF(Source!AI185="","",IF(OR(UPPER(Source!AI185)="YES",UPPER(Source!AI185)="Y"),"visually conspicuous",IF(OR(UPPER(Source!AI185)="NO",UPPER(Source!AI185)="N"),"not visually conspicuous",Source!AI185)))</f>
        <v/>
      </c>
      <c r="W185" s="7" t="str">
        <f>IF(Source!AJ185="","",Source!AJ185)</f>
        <v/>
      </c>
    </row>
    <row r="186">
      <c r="A186" s="7" t="str">
        <f>IF(Source!A186="","",Source!A186&amp;"")</f>
        <v/>
      </c>
      <c r="B186" s="7" t="str">
        <f>TRIM(Source!C186&amp;" "&amp;Source!B186&amp;" "&amp;Source!D186)</f>
        <v/>
      </c>
      <c r="C186" s="7" t="str">
        <f>IF(Source!E186="","",Source!E186)</f>
        <v/>
      </c>
      <c r="D186" s="7" t="str">
        <f>IF(Source!F186="","",ROUND(IF(UPPER(Source!I186)="S",-1,1)*(N(Source!F186)+N(Source!G186)/60+N(Source!H186)/3600),7))</f>
        <v/>
      </c>
      <c r="E186" s="7" t="str">
        <f>IF(Source!J186="","",ROUND(IF(UPPER(Source!M186)="W",-1,1)*(N(Source!J186)+N(Source!K186)/60+N(Source!L186)/3600),7))</f>
        <v/>
      </c>
      <c r="F186" s="7" t="str">
        <f>SUBSTITUTE(TRIM(Source!N186&amp;" "&amp;Source!O186&amp;" "&amp;Source!P186)," ","/")</f>
        <v/>
      </c>
      <c r="G186" s="7" t="str">
        <f>IF(Source!Q186="","",Source!Q186)</f>
        <v/>
      </c>
      <c r="H186" s="7" t="str">
        <f>IF(Source!R186="","",Source!R186)</f>
        <v/>
      </c>
      <c r="I186" s="7" t="str">
        <f>IF(Source!S186&lt;&gt;"",Source!S186,IF(Source!C186&lt;&gt;"",Source!C186,""))</f>
        <v/>
      </c>
      <c r="J186" s="7" t="str">
        <f>TRIM(Source!T186&amp;" "&amp;Source!U186&amp;" "&amp;IF(Source!V186="","",Source!V186&amp;"s")&amp;" "&amp;IF(Source!W186="","",Source!W186&amp;"M"))</f>
        <v/>
      </c>
      <c r="K186" s="7" t="str">
        <f>IF(Source!X186="","",Source!X186)</f>
        <v/>
      </c>
      <c r="L186" s="7" t="str">
        <f>IF(Source!Y186="","",Source!Y186)</f>
        <v/>
      </c>
      <c r="M186" s="7" t="str">
        <f>IF(Source!Z186="","",Source!Z186)</f>
        <v/>
      </c>
      <c r="N186" s="7" t="str">
        <f>IF(Source!AA186="","",Source!AA186)</f>
        <v/>
      </c>
      <c r="O186" s="7" t="str">
        <f>IF(Source!AB186="","",Source!AB186)</f>
        <v/>
      </c>
      <c r="P186" s="7" t="str">
        <f>IF(Source!AC186="","",Source!AC186)</f>
        <v/>
      </c>
      <c r="Q186" s="7" t="str">
        <f>IF(Source!AD186="","",TEXT(Source!AD186,"000000000"))</f>
        <v/>
      </c>
      <c r="R186" s="7" t="str">
        <f>IF(Source!AE186="","","physical AIS type "&amp;Source!AE186)</f>
        <v/>
      </c>
      <c r="S186" s="7" t="str">
        <f>IF(Source!AF186="","",IF(LEN(Source!AF186)=1,UPPER(Source!AF186),"yes"))</f>
        <v/>
      </c>
      <c r="T186" s="7" t="str">
        <f>IF(Source!AG186="","",Source!AG186)</f>
        <v/>
      </c>
      <c r="U186" s="7" t="str">
        <f>IF(Source!AH186="","",YEAR(Source!AH186)&amp;"-"&amp;TEXT(MONTH(Source!AH186),"00")&amp;"-"&amp;TEXT(DAY(Source!AH186),"00"))</f>
        <v/>
      </c>
      <c r="V186" s="7" t="str">
        <f>IF(Source!AI186="","",IF(OR(UPPER(Source!AI186)="YES",UPPER(Source!AI186)="Y"),"visually conspicuous",IF(OR(UPPER(Source!AI186)="NO",UPPER(Source!AI186)="N"),"not visually conspicuous",Source!AI186)))</f>
        <v/>
      </c>
      <c r="W186" s="7" t="str">
        <f>IF(Source!AJ186="","",Source!AJ186)</f>
        <v/>
      </c>
    </row>
    <row r="187">
      <c r="A187" s="7" t="str">
        <f>IF(Source!A187="","",Source!A187&amp;"")</f>
        <v/>
      </c>
      <c r="B187" s="7" t="str">
        <f>TRIM(Source!C187&amp;" "&amp;Source!B187&amp;" "&amp;Source!D187)</f>
        <v/>
      </c>
      <c r="C187" s="7" t="str">
        <f>IF(Source!E187="","",Source!E187)</f>
        <v/>
      </c>
      <c r="D187" s="7" t="str">
        <f>IF(Source!F187="","",ROUND(IF(UPPER(Source!I187)="S",-1,1)*(N(Source!F187)+N(Source!G187)/60+N(Source!H187)/3600),7))</f>
        <v/>
      </c>
      <c r="E187" s="7" t="str">
        <f>IF(Source!J187="","",ROUND(IF(UPPER(Source!M187)="W",-1,1)*(N(Source!J187)+N(Source!K187)/60+N(Source!L187)/3600),7))</f>
        <v/>
      </c>
      <c r="F187" s="7" t="str">
        <f>SUBSTITUTE(TRIM(Source!N187&amp;" "&amp;Source!O187&amp;" "&amp;Source!P187)," ","/")</f>
        <v/>
      </c>
      <c r="G187" s="7" t="str">
        <f>IF(Source!Q187="","",Source!Q187)</f>
        <v/>
      </c>
      <c r="H187" s="7" t="str">
        <f>IF(Source!R187="","",Source!R187)</f>
        <v/>
      </c>
      <c r="I187" s="7" t="str">
        <f>IF(Source!S187&lt;&gt;"",Source!S187,IF(Source!C187&lt;&gt;"",Source!C187,""))</f>
        <v/>
      </c>
      <c r="J187" s="7" t="str">
        <f>TRIM(Source!T187&amp;" "&amp;Source!U187&amp;" "&amp;IF(Source!V187="","",Source!V187&amp;"s")&amp;" "&amp;IF(Source!W187="","",Source!W187&amp;"M"))</f>
        <v/>
      </c>
      <c r="K187" s="7" t="str">
        <f>IF(Source!X187="","",Source!X187)</f>
        <v/>
      </c>
      <c r="L187" s="7" t="str">
        <f>IF(Source!Y187="","",Source!Y187)</f>
        <v/>
      </c>
      <c r="M187" s="7" t="str">
        <f>IF(Source!Z187="","",Source!Z187)</f>
        <v/>
      </c>
      <c r="N187" s="7" t="str">
        <f>IF(Source!AA187="","",Source!AA187)</f>
        <v/>
      </c>
      <c r="O187" s="7" t="str">
        <f>IF(Source!AB187="","",Source!AB187)</f>
        <v/>
      </c>
      <c r="P187" s="7" t="str">
        <f>IF(Source!AC187="","",Source!AC187)</f>
        <v/>
      </c>
      <c r="Q187" s="7" t="str">
        <f>IF(Source!AD187="","",TEXT(Source!AD187,"000000000"))</f>
        <v/>
      </c>
      <c r="R187" s="7" t="str">
        <f>IF(Source!AE187="","","physical AIS type "&amp;Source!AE187)</f>
        <v/>
      </c>
      <c r="S187" s="7" t="str">
        <f>IF(Source!AF187="","",IF(LEN(Source!AF187)=1,UPPER(Source!AF187),"yes"))</f>
        <v/>
      </c>
      <c r="T187" s="7" t="str">
        <f>IF(Source!AG187="","",Source!AG187)</f>
        <v/>
      </c>
      <c r="U187" s="7" t="str">
        <f>IF(Source!AH187="","",YEAR(Source!AH187)&amp;"-"&amp;TEXT(MONTH(Source!AH187),"00")&amp;"-"&amp;TEXT(DAY(Source!AH187),"00"))</f>
        <v/>
      </c>
      <c r="V187" s="7" t="str">
        <f>IF(Source!AI187="","",IF(OR(UPPER(Source!AI187)="YES",UPPER(Source!AI187)="Y"),"visually conspicuous",IF(OR(UPPER(Source!AI187)="NO",UPPER(Source!AI187)="N"),"not visually conspicuous",Source!AI187)))</f>
        <v/>
      </c>
      <c r="W187" s="7" t="str">
        <f>IF(Source!AJ187="","",Source!AJ187)</f>
        <v/>
      </c>
    </row>
    <row r="188">
      <c r="A188" s="7" t="str">
        <f>IF(Source!A188="","",Source!A188&amp;"")</f>
        <v/>
      </c>
      <c r="B188" s="7" t="str">
        <f>TRIM(Source!C188&amp;" "&amp;Source!B188&amp;" "&amp;Source!D188)</f>
        <v/>
      </c>
      <c r="C188" s="7" t="str">
        <f>IF(Source!E188="","",Source!E188)</f>
        <v/>
      </c>
      <c r="D188" s="7" t="str">
        <f>IF(Source!F188="","",ROUND(IF(UPPER(Source!I188)="S",-1,1)*(N(Source!F188)+N(Source!G188)/60+N(Source!H188)/3600),7))</f>
        <v/>
      </c>
      <c r="E188" s="7" t="str">
        <f>IF(Source!J188="","",ROUND(IF(UPPER(Source!M188)="W",-1,1)*(N(Source!J188)+N(Source!K188)/60+N(Source!L188)/3600),7))</f>
        <v/>
      </c>
      <c r="F188" s="7" t="str">
        <f>SUBSTITUTE(TRIM(Source!N188&amp;" "&amp;Source!O188&amp;" "&amp;Source!P188)," ","/")</f>
        <v/>
      </c>
      <c r="G188" s="7" t="str">
        <f>IF(Source!Q188="","",Source!Q188)</f>
        <v/>
      </c>
      <c r="H188" s="7" t="str">
        <f>IF(Source!R188="","",Source!R188)</f>
        <v/>
      </c>
      <c r="I188" s="7" t="str">
        <f>IF(Source!S188&lt;&gt;"",Source!S188,IF(Source!C188&lt;&gt;"",Source!C188,""))</f>
        <v/>
      </c>
      <c r="J188" s="7" t="str">
        <f>TRIM(Source!T188&amp;" "&amp;Source!U188&amp;" "&amp;IF(Source!V188="","",Source!V188&amp;"s")&amp;" "&amp;IF(Source!W188="","",Source!W188&amp;"M"))</f>
        <v/>
      </c>
      <c r="K188" s="7" t="str">
        <f>IF(Source!X188="","",Source!X188)</f>
        <v/>
      </c>
      <c r="L188" s="7" t="str">
        <f>IF(Source!Y188="","",Source!Y188)</f>
        <v/>
      </c>
      <c r="M188" s="7" t="str">
        <f>IF(Source!Z188="","",Source!Z188)</f>
        <v/>
      </c>
      <c r="N188" s="7" t="str">
        <f>IF(Source!AA188="","",Source!AA188)</f>
        <v/>
      </c>
      <c r="O188" s="7" t="str">
        <f>IF(Source!AB188="","",Source!AB188)</f>
        <v/>
      </c>
      <c r="P188" s="7" t="str">
        <f>IF(Source!AC188="","",Source!AC188)</f>
        <v/>
      </c>
      <c r="Q188" s="7" t="str">
        <f>IF(Source!AD188="","",TEXT(Source!AD188,"000000000"))</f>
        <v/>
      </c>
      <c r="R188" s="7" t="str">
        <f>IF(Source!AE188="","","physical AIS type "&amp;Source!AE188)</f>
        <v/>
      </c>
      <c r="S188" s="7" t="str">
        <f>IF(Source!AF188="","",IF(LEN(Source!AF188)=1,UPPER(Source!AF188),"yes"))</f>
        <v/>
      </c>
      <c r="T188" s="7" t="str">
        <f>IF(Source!AG188="","",Source!AG188)</f>
        <v/>
      </c>
      <c r="U188" s="7" t="str">
        <f>IF(Source!AH188="","",YEAR(Source!AH188)&amp;"-"&amp;TEXT(MONTH(Source!AH188),"00")&amp;"-"&amp;TEXT(DAY(Source!AH188),"00"))</f>
        <v/>
      </c>
      <c r="V188" s="7" t="str">
        <f>IF(Source!AI188="","",IF(OR(UPPER(Source!AI188)="YES",UPPER(Source!AI188)="Y"),"visually conspicuous",IF(OR(UPPER(Source!AI188)="NO",UPPER(Source!AI188)="N"),"not visually conspicuous",Source!AI188)))</f>
        <v/>
      </c>
      <c r="W188" s="7" t="str">
        <f>IF(Source!AJ188="","",Source!AJ188)</f>
        <v/>
      </c>
    </row>
    <row r="189">
      <c r="A189" s="7" t="str">
        <f>IF(Source!A189="","",Source!A189&amp;"")</f>
        <v/>
      </c>
      <c r="B189" s="7" t="str">
        <f>TRIM(Source!C189&amp;" "&amp;Source!B189&amp;" "&amp;Source!D189)</f>
        <v/>
      </c>
      <c r="C189" s="7" t="str">
        <f>IF(Source!E189="","",Source!E189)</f>
        <v/>
      </c>
      <c r="D189" s="7" t="str">
        <f>IF(Source!F189="","",ROUND(IF(UPPER(Source!I189)="S",-1,1)*(N(Source!F189)+N(Source!G189)/60+N(Source!H189)/3600),7))</f>
        <v/>
      </c>
      <c r="E189" s="7" t="str">
        <f>IF(Source!J189="","",ROUND(IF(UPPER(Source!M189)="W",-1,1)*(N(Source!J189)+N(Source!K189)/60+N(Source!L189)/3600),7))</f>
        <v/>
      </c>
      <c r="F189" s="7" t="str">
        <f>SUBSTITUTE(TRIM(Source!N189&amp;" "&amp;Source!O189&amp;" "&amp;Source!P189)," ","/")</f>
        <v/>
      </c>
      <c r="G189" s="7" t="str">
        <f>IF(Source!Q189="","",Source!Q189)</f>
        <v/>
      </c>
      <c r="H189" s="7" t="str">
        <f>IF(Source!R189="","",Source!R189)</f>
        <v/>
      </c>
      <c r="I189" s="7" t="str">
        <f>IF(Source!S189&lt;&gt;"",Source!S189,IF(Source!C189&lt;&gt;"",Source!C189,""))</f>
        <v/>
      </c>
      <c r="J189" s="7" t="str">
        <f>TRIM(Source!T189&amp;" "&amp;Source!U189&amp;" "&amp;IF(Source!V189="","",Source!V189&amp;"s")&amp;" "&amp;IF(Source!W189="","",Source!W189&amp;"M"))</f>
        <v/>
      </c>
      <c r="K189" s="7" t="str">
        <f>IF(Source!X189="","",Source!X189)</f>
        <v/>
      </c>
      <c r="L189" s="7" t="str">
        <f>IF(Source!Y189="","",Source!Y189)</f>
        <v/>
      </c>
      <c r="M189" s="7" t="str">
        <f>IF(Source!Z189="","",Source!Z189)</f>
        <v/>
      </c>
      <c r="N189" s="7" t="str">
        <f>IF(Source!AA189="","",Source!AA189)</f>
        <v/>
      </c>
      <c r="O189" s="7" t="str">
        <f>IF(Source!AB189="","",Source!AB189)</f>
        <v/>
      </c>
      <c r="P189" s="7" t="str">
        <f>IF(Source!AC189="","",Source!AC189)</f>
        <v/>
      </c>
      <c r="Q189" s="7" t="str">
        <f>IF(Source!AD189="","",TEXT(Source!AD189,"000000000"))</f>
        <v/>
      </c>
      <c r="R189" s="7" t="str">
        <f>IF(Source!AE189="","","physical AIS type "&amp;Source!AE189)</f>
        <v/>
      </c>
      <c r="S189" s="7" t="str">
        <f>IF(Source!AF189="","",IF(LEN(Source!AF189)=1,UPPER(Source!AF189),"yes"))</f>
        <v/>
      </c>
      <c r="T189" s="7" t="str">
        <f>IF(Source!AG189="","",Source!AG189)</f>
        <v/>
      </c>
      <c r="U189" s="7" t="str">
        <f>IF(Source!AH189="","",YEAR(Source!AH189)&amp;"-"&amp;TEXT(MONTH(Source!AH189),"00")&amp;"-"&amp;TEXT(DAY(Source!AH189),"00"))</f>
        <v/>
      </c>
      <c r="V189" s="7" t="str">
        <f>IF(Source!AI189="","",IF(OR(UPPER(Source!AI189)="YES",UPPER(Source!AI189)="Y"),"visually conspicuous",IF(OR(UPPER(Source!AI189)="NO",UPPER(Source!AI189)="N"),"not visually conspicuous",Source!AI189)))</f>
        <v/>
      </c>
      <c r="W189" s="7" t="str">
        <f>IF(Source!AJ189="","",Source!AJ189)</f>
        <v/>
      </c>
    </row>
    <row r="190">
      <c r="A190" s="7" t="str">
        <f>IF(Source!A190="","",Source!A190&amp;"")</f>
        <v/>
      </c>
      <c r="B190" s="7" t="str">
        <f>TRIM(Source!C190&amp;" "&amp;Source!B190&amp;" "&amp;Source!D190)</f>
        <v/>
      </c>
      <c r="C190" s="7" t="str">
        <f>IF(Source!E190="","",Source!E190)</f>
        <v/>
      </c>
      <c r="D190" s="7" t="str">
        <f>IF(Source!F190="","",ROUND(IF(UPPER(Source!I190)="S",-1,1)*(N(Source!F190)+N(Source!G190)/60+N(Source!H190)/3600),7))</f>
        <v/>
      </c>
      <c r="E190" s="7" t="str">
        <f>IF(Source!J190="","",ROUND(IF(UPPER(Source!M190)="W",-1,1)*(N(Source!J190)+N(Source!K190)/60+N(Source!L190)/3600),7))</f>
        <v/>
      </c>
      <c r="F190" s="7" t="str">
        <f>SUBSTITUTE(TRIM(Source!N190&amp;" "&amp;Source!O190&amp;" "&amp;Source!P190)," ","/")</f>
        <v/>
      </c>
      <c r="G190" s="7" t="str">
        <f>IF(Source!Q190="","",Source!Q190)</f>
        <v/>
      </c>
      <c r="H190" s="7" t="str">
        <f>IF(Source!R190="","",Source!R190)</f>
        <v/>
      </c>
      <c r="I190" s="7" t="str">
        <f>IF(Source!S190&lt;&gt;"",Source!S190,IF(Source!C190&lt;&gt;"",Source!C190,""))</f>
        <v/>
      </c>
      <c r="J190" s="7" t="str">
        <f>TRIM(Source!T190&amp;" "&amp;Source!U190&amp;" "&amp;IF(Source!V190="","",Source!V190&amp;"s")&amp;" "&amp;IF(Source!W190="","",Source!W190&amp;"M"))</f>
        <v/>
      </c>
      <c r="K190" s="7" t="str">
        <f>IF(Source!X190="","",Source!X190)</f>
        <v/>
      </c>
      <c r="L190" s="7" t="str">
        <f>IF(Source!Y190="","",Source!Y190)</f>
        <v/>
      </c>
      <c r="M190" s="7" t="str">
        <f>IF(Source!Z190="","",Source!Z190)</f>
        <v/>
      </c>
      <c r="N190" s="7" t="str">
        <f>IF(Source!AA190="","",Source!AA190)</f>
        <v/>
      </c>
      <c r="O190" s="7" t="str">
        <f>IF(Source!AB190="","",Source!AB190)</f>
        <v/>
      </c>
      <c r="P190" s="7" t="str">
        <f>IF(Source!AC190="","",Source!AC190)</f>
        <v/>
      </c>
      <c r="Q190" s="7" t="str">
        <f>IF(Source!AD190="","",TEXT(Source!AD190,"000000000"))</f>
        <v/>
      </c>
      <c r="R190" s="7" t="str">
        <f>IF(Source!AE190="","","physical AIS type "&amp;Source!AE190)</f>
        <v/>
      </c>
      <c r="S190" s="7" t="str">
        <f>IF(Source!AF190="","",IF(LEN(Source!AF190)=1,UPPER(Source!AF190),"yes"))</f>
        <v/>
      </c>
      <c r="T190" s="7" t="str">
        <f>IF(Source!AG190="","",Source!AG190)</f>
        <v/>
      </c>
      <c r="U190" s="7" t="str">
        <f>IF(Source!AH190="","",YEAR(Source!AH190)&amp;"-"&amp;TEXT(MONTH(Source!AH190),"00")&amp;"-"&amp;TEXT(DAY(Source!AH190),"00"))</f>
        <v/>
      </c>
      <c r="V190" s="7" t="str">
        <f>IF(Source!AI190="","",IF(OR(UPPER(Source!AI190)="YES",UPPER(Source!AI190)="Y"),"visually conspicuous",IF(OR(UPPER(Source!AI190)="NO",UPPER(Source!AI190)="N"),"not visually conspicuous",Source!AI190)))</f>
        <v/>
      </c>
      <c r="W190" s="7" t="str">
        <f>IF(Source!AJ190="","",Source!AJ190)</f>
        <v/>
      </c>
    </row>
    <row r="191">
      <c r="A191" s="7" t="str">
        <f>IF(Source!A191="","",Source!A191&amp;"")</f>
        <v/>
      </c>
      <c r="B191" s="7" t="str">
        <f>TRIM(Source!C191&amp;" "&amp;Source!B191&amp;" "&amp;Source!D191)</f>
        <v/>
      </c>
      <c r="C191" s="7" t="str">
        <f>IF(Source!E191="","",Source!E191)</f>
        <v/>
      </c>
      <c r="D191" s="7" t="str">
        <f>IF(Source!F191="","",ROUND(IF(UPPER(Source!I191)="S",-1,1)*(N(Source!F191)+N(Source!G191)/60+N(Source!H191)/3600),7))</f>
        <v/>
      </c>
      <c r="E191" s="7" t="str">
        <f>IF(Source!J191="","",ROUND(IF(UPPER(Source!M191)="W",-1,1)*(N(Source!J191)+N(Source!K191)/60+N(Source!L191)/3600),7))</f>
        <v/>
      </c>
      <c r="F191" s="7" t="str">
        <f>SUBSTITUTE(TRIM(Source!N191&amp;" "&amp;Source!O191&amp;" "&amp;Source!P191)," ","/")</f>
        <v/>
      </c>
      <c r="G191" s="7" t="str">
        <f>IF(Source!Q191="","",Source!Q191)</f>
        <v/>
      </c>
      <c r="H191" s="7" t="str">
        <f>IF(Source!R191="","",Source!R191)</f>
        <v/>
      </c>
      <c r="I191" s="7" t="str">
        <f>IF(Source!S191&lt;&gt;"",Source!S191,IF(Source!C191&lt;&gt;"",Source!C191,""))</f>
        <v/>
      </c>
      <c r="J191" s="7" t="str">
        <f>TRIM(Source!T191&amp;" "&amp;Source!U191&amp;" "&amp;IF(Source!V191="","",Source!V191&amp;"s")&amp;" "&amp;IF(Source!W191="","",Source!W191&amp;"M"))</f>
        <v/>
      </c>
      <c r="K191" s="7" t="str">
        <f>IF(Source!X191="","",Source!X191)</f>
        <v/>
      </c>
      <c r="L191" s="7" t="str">
        <f>IF(Source!Y191="","",Source!Y191)</f>
        <v/>
      </c>
      <c r="M191" s="7" t="str">
        <f>IF(Source!Z191="","",Source!Z191)</f>
        <v/>
      </c>
      <c r="N191" s="7" t="str">
        <f>IF(Source!AA191="","",Source!AA191)</f>
        <v/>
      </c>
      <c r="O191" s="7" t="str">
        <f>IF(Source!AB191="","",Source!AB191)</f>
        <v/>
      </c>
      <c r="P191" s="7" t="str">
        <f>IF(Source!AC191="","",Source!AC191)</f>
        <v/>
      </c>
      <c r="Q191" s="7" t="str">
        <f>IF(Source!AD191="","",TEXT(Source!AD191,"000000000"))</f>
        <v/>
      </c>
      <c r="R191" s="7" t="str">
        <f>IF(Source!AE191="","","physical AIS type "&amp;Source!AE191)</f>
        <v/>
      </c>
      <c r="S191" s="7" t="str">
        <f>IF(Source!AF191="","",IF(LEN(Source!AF191)=1,UPPER(Source!AF191),"yes"))</f>
        <v/>
      </c>
      <c r="T191" s="7" t="str">
        <f>IF(Source!AG191="","",Source!AG191)</f>
        <v/>
      </c>
      <c r="U191" s="7" t="str">
        <f>IF(Source!AH191="","",YEAR(Source!AH191)&amp;"-"&amp;TEXT(MONTH(Source!AH191),"00")&amp;"-"&amp;TEXT(DAY(Source!AH191),"00"))</f>
        <v/>
      </c>
      <c r="V191" s="7" t="str">
        <f>IF(Source!AI191="","",IF(OR(UPPER(Source!AI191)="YES",UPPER(Source!AI191)="Y"),"visually conspicuous",IF(OR(UPPER(Source!AI191)="NO",UPPER(Source!AI191)="N"),"not visually conspicuous",Source!AI191)))</f>
        <v/>
      </c>
      <c r="W191" s="7" t="str">
        <f>IF(Source!AJ191="","",Source!AJ191)</f>
        <v/>
      </c>
    </row>
    <row r="192">
      <c r="A192" s="7" t="str">
        <f>IF(Source!A192="","",Source!A192&amp;"")</f>
        <v/>
      </c>
      <c r="B192" s="7" t="str">
        <f>TRIM(Source!C192&amp;" "&amp;Source!B192&amp;" "&amp;Source!D192)</f>
        <v/>
      </c>
      <c r="C192" s="7" t="str">
        <f>IF(Source!E192="","",Source!E192)</f>
        <v/>
      </c>
      <c r="D192" s="7" t="str">
        <f>IF(Source!F192="","",ROUND(IF(UPPER(Source!I192)="S",-1,1)*(N(Source!F192)+N(Source!G192)/60+N(Source!H192)/3600),7))</f>
        <v/>
      </c>
      <c r="E192" s="7" t="str">
        <f>IF(Source!J192="","",ROUND(IF(UPPER(Source!M192)="W",-1,1)*(N(Source!J192)+N(Source!K192)/60+N(Source!L192)/3600),7))</f>
        <v/>
      </c>
      <c r="F192" s="7" t="str">
        <f>SUBSTITUTE(TRIM(Source!N192&amp;" "&amp;Source!O192&amp;" "&amp;Source!P192)," ","/")</f>
        <v/>
      </c>
      <c r="G192" s="7" t="str">
        <f>IF(Source!Q192="","",Source!Q192)</f>
        <v/>
      </c>
      <c r="H192" s="7" t="str">
        <f>IF(Source!R192="","",Source!R192)</f>
        <v/>
      </c>
      <c r="I192" s="7" t="str">
        <f>IF(Source!S192&lt;&gt;"",Source!S192,IF(Source!C192&lt;&gt;"",Source!C192,""))</f>
        <v/>
      </c>
      <c r="J192" s="7" t="str">
        <f>TRIM(Source!T192&amp;" "&amp;Source!U192&amp;" "&amp;IF(Source!V192="","",Source!V192&amp;"s")&amp;" "&amp;IF(Source!W192="","",Source!W192&amp;"M"))</f>
        <v/>
      </c>
      <c r="K192" s="7" t="str">
        <f>IF(Source!X192="","",Source!X192)</f>
        <v/>
      </c>
      <c r="L192" s="7" t="str">
        <f>IF(Source!Y192="","",Source!Y192)</f>
        <v/>
      </c>
      <c r="M192" s="7" t="str">
        <f>IF(Source!Z192="","",Source!Z192)</f>
        <v/>
      </c>
      <c r="N192" s="7" t="str">
        <f>IF(Source!AA192="","",Source!AA192)</f>
        <v/>
      </c>
      <c r="O192" s="7" t="str">
        <f>IF(Source!AB192="","",Source!AB192)</f>
        <v/>
      </c>
      <c r="P192" s="7" t="str">
        <f>IF(Source!AC192="","",Source!AC192)</f>
        <v/>
      </c>
      <c r="Q192" s="7" t="str">
        <f>IF(Source!AD192="","",TEXT(Source!AD192,"000000000"))</f>
        <v/>
      </c>
      <c r="R192" s="7" t="str">
        <f>IF(Source!AE192="","","physical AIS type "&amp;Source!AE192)</f>
        <v/>
      </c>
      <c r="S192" s="7" t="str">
        <f>IF(Source!AF192="","",IF(LEN(Source!AF192)=1,UPPER(Source!AF192),"yes"))</f>
        <v/>
      </c>
      <c r="T192" s="7" t="str">
        <f>IF(Source!AG192="","",Source!AG192)</f>
        <v/>
      </c>
      <c r="U192" s="7" t="str">
        <f>IF(Source!AH192="","",YEAR(Source!AH192)&amp;"-"&amp;TEXT(MONTH(Source!AH192),"00")&amp;"-"&amp;TEXT(DAY(Source!AH192),"00"))</f>
        <v/>
      </c>
      <c r="V192" s="7" t="str">
        <f>IF(Source!AI192="","",IF(OR(UPPER(Source!AI192)="YES",UPPER(Source!AI192)="Y"),"visually conspicuous",IF(OR(UPPER(Source!AI192)="NO",UPPER(Source!AI192)="N"),"not visually conspicuous",Source!AI192)))</f>
        <v/>
      </c>
      <c r="W192" s="7" t="str">
        <f>IF(Source!AJ192="","",Source!AJ192)</f>
        <v/>
      </c>
    </row>
    <row r="193">
      <c r="A193" s="7" t="str">
        <f>IF(Source!A193="","",Source!A193&amp;"")</f>
        <v/>
      </c>
      <c r="B193" s="7" t="str">
        <f>TRIM(Source!C193&amp;" "&amp;Source!B193&amp;" "&amp;Source!D193)</f>
        <v/>
      </c>
      <c r="C193" s="7" t="str">
        <f>IF(Source!E193="","",Source!E193)</f>
        <v/>
      </c>
      <c r="D193" s="7" t="str">
        <f>IF(Source!F193="","",ROUND(IF(UPPER(Source!I193)="S",-1,1)*(N(Source!F193)+N(Source!G193)/60+N(Source!H193)/3600),7))</f>
        <v/>
      </c>
      <c r="E193" s="7" t="str">
        <f>IF(Source!J193="","",ROUND(IF(UPPER(Source!M193)="W",-1,1)*(N(Source!J193)+N(Source!K193)/60+N(Source!L193)/3600),7))</f>
        <v/>
      </c>
      <c r="F193" s="7" t="str">
        <f>SUBSTITUTE(TRIM(Source!N193&amp;" "&amp;Source!O193&amp;" "&amp;Source!P193)," ","/")</f>
        <v/>
      </c>
      <c r="G193" s="7" t="str">
        <f>IF(Source!Q193="","",Source!Q193)</f>
        <v/>
      </c>
      <c r="H193" s="7" t="str">
        <f>IF(Source!R193="","",Source!R193)</f>
        <v/>
      </c>
      <c r="I193" s="7" t="str">
        <f>IF(Source!S193&lt;&gt;"",Source!S193,IF(Source!C193&lt;&gt;"",Source!C193,""))</f>
        <v/>
      </c>
      <c r="J193" s="7" t="str">
        <f>TRIM(Source!T193&amp;" "&amp;Source!U193&amp;" "&amp;IF(Source!V193="","",Source!V193&amp;"s")&amp;" "&amp;IF(Source!W193="","",Source!W193&amp;"M"))</f>
        <v/>
      </c>
      <c r="K193" s="7" t="str">
        <f>IF(Source!X193="","",Source!X193)</f>
        <v/>
      </c>
      <c r="L193" s="7" t="str">
        <f>IF(Source!Y193="","",Source!Y193)</f>
        <v/>
      </c>
      <c r="M193" s="7" t="str">
        <f>IF(Source!Z193="","",Source!Z193)</f>
        <v/>
      </c>
      <c r="N193" s="7" t="str">
        <f>IF(Source!AA193="","",Source!AA193)</f>
        <v/>
      </c>
      <c r="O193" s="7" t="str">
        <f>IF(Source!AB193="","",Source!AB193)</f>
        <v/>
      </c>
      <c r="P193" s="7" t="str">
        <f>IF(Source!AC193="","",Source!AC193)</f>
        <v/>
      </c>
      <c r="Q193" s="7" t="str">
        <f>IF(Source!AD193="","",TEXT(Source!AD193,"000000000"))</f>
        <v/>
      </c>
      <c r="R193" s="7" t="str">
        <f>IF(Source!AE193="","","physical AIS type "&amp;Source!AE193)</f>
        <v/>
      </c>
      <c r="S193" s="7" t="str">
        <f>IF(Source!AF193="","",IF(LEN(Source!AF193)=1,UPPER(Source!AF193),"yes"))</f>
        <v/>
      </c>
      <c r="T193" s="7" t="str">
        <f>IF(Source!AG193="","",Source!AG193)</f>
        <v/>
      </c>
      <c r="U193" s="7" t="str">
        <f>IF(Source!AH193="","",YEAR(Source!AH193)&amp;"-"&amp;TEXT(MONTH(Source!AH193),"00")&amp;"-"&amp;TEXT(DAY(Source!AH193),"00"))</f>
        <v/>
      </c>
      <c r="V193" s="7" t="str">
        <f>IF(Source!AI193="","",IF(OR(UPPER(Source!AI193)="YES",UPPER(Source!AI193)="Y"),"visually conspicuous",IF(OR(UPPER(Source!AI193)="NO",UPPER(Source!AI193)="N"),"not visually conspicuous",Source!AI193)))</f>
        <v/>
      </c>
      <c r="W193" s="7" t="str">
        <f>IF(Source!AJ193="","",Source!AJ193)</f>
        <v/>
      </c>
    </row>
    <row r="194">
      <c r="A194" s="7" t="str">
        <f>IF(Source!A194="","",Source!A194&amp;"")</f>
        <v/>
      </c>
      <c r="B194" s="7" t="str">
        <f>TRIM(Source!C194&amp;" "&amp;Source!B194&amp;" "&amp;Source!D194)</f>
        <v/>
      </c>
      <c r="C194" s="7" t="str">
        <f>IF(Source!E194="","",Source!E194)</f>
        <v/>
      </c>
      <c r="D194" s="7" t="str">
        <f>IF(Source!F194="","",ROUND(IF(UPPER(Source!I194)="S",-1,1)*(N(Source!F194)+N(Source!G194)/60+N(Source!H194)/3600),7))</f>
        <v/>
      </c>
      <c r="E194" s="7" t="str">
        <f>IF(Source!J194="","",ROUND(IF(UPPER(Source!M194)="W",-1,1)*(N(Source!J194)+N(Source!K194)/60+N(Source!L194)/3600),7))</f>
        <v/>
      </c>
      <c r="F194" s="7" t="str">
        <f>SUBSTITUTE(TRIM(Source!N194&amp;" "&amp;Source!O194&amp;" "&amp;Source!P194)," ","/")</f>
        <v/>
      </c>
      <c r="G194" s="7" t="str">
        <f>IF(Source!Q194="","",Source!Q194)</f>
        <v/>
      </c>
      <c r="H194" s="7" t="str">
        <f>IF(Source!R194="","",Source!R194)</f>
        <v/>
      </c>
      <c r="I194" s="7" t="str">
        <f>IF(Source!S194&lt;&gt;"",Source!S194,IF(Source!C194&lt;&gt;"",Source!C194,""))</f>
        <v/>
      </c>
      <c r="J194" s="7" t="str">
        <f>TRIM(Source!T194&amp;" "&amp;Source!U194&amp;" "&amp;IF(Source!V194="","",Source!V194&amp;"s")&amp;" "&amp;IF(Source!W194="","",Source!W194&amp;"M"))</f>
        <v/>
      </c>
      <c r="K194" s="7" t="str">
        <f>IF(Source!X194="","",Source!X194)</f>
        <v/>
      </c>
      <c r="L194" s="7" t="str">
        <f>IF(Source!Y194="","",Source!Y194)</f>
        <v/>
      </c>
      <c r="M194" s="7" t="str">
        <f>IF(Source!Z194="","",Source!Z194)</f>
        <v/>
      </c>
      <c r="N194" s="7" t="str">
        <f>IF(Source!AA194="","",Source!AA194)</f>
        <v/>
      </c>
      <c r="O194" s="7" t="str">
        <f>IF(Source!AB194="","",Source!AB194)</f>
        <v/>
      </c>
      <c r="P194" s="7" t="str">
        <f>IF(Source!AC194="","",Source!AC194)</f>
        <v/>
      </c>
      <c r="Q194" s="7" t="str">
        <f>IF(Source!AD194="","",TEXT(Source!AD194,"000000000"))</f>
        <v/>
      </c>
      <c r="R194" s="7" t="str">
        <f>IF(Source!AE194="","","physical AIS type "&amp;Source!AE194)</f>
        <v/>
      </c>
      <c r="S194" s="7" t="str">
        <f>IF(Source!AF194="","",IF(LEN(Source!AF194)=1,UPPER(Source!AF194),"yes"))</f>
        <v/>
      </c>
      <c r="T194" s="7" t="str">
        <f>IF(Source!AG194="","",Source!AG194)</f>
        <v/>
      </c>
      <c r="U194" s="7" t="str">
        <f>IF(Source!AH194="","",YEAR(Source!AH194)&amp;"-"&amp;TEXT(MONTH(Source!AH194),"00")&amp;"-"&amp;TEXT(DAY(Source!AH194),"00"))</f>
        <v/>
      </c>
      <c r="V194" s="7" t="str">
        <f>IF(Source!AI194="","",IF(OR(UPPER(Source!AI194)="YES",UPPER(Source!AI194)="Y"),"visually conspicuous",IF(OR(UPPER(Source!AI194)="NO",UPPER(Source!AI194)="N"),"not visually conspicuous",Source!AI194)))</f>
        <v/>
      </c>
      <c r="W194" s="7" t="str">
        <f>IF(Source!AJ194="","",Source!AJ194)</f>
        <v/>
      </c>
    </row>
    <row r="195">
      <c r="A195" s="7" t="str">
        <f>IF(Source!A195="","",Source!A195&amp;"")</f>
        <v/>
      </c>
      <c r="B195" s="7" t="str">
        <f>TRIM(Source!C195&amp;" "&amp;Source!B195&amp;" "&amp;Source!D195)</f>
        <v/>
      </c>
      <c r="C195" s="7" t="str">
        <f>IF(Source!E195="","",Source!E195)</f>
        <v/>
      </c>
      <c r="D195" s="7" t="str">
        <f>IF(Source!F195="","",ROUND(IF(UPPER(Source!I195)="S",-1,1)*(N(Source!F195)+N(Source!G195)/60+N(Source!H195)/3600),7))</f>
        <v/>
      </c>
      <c r="E195" s="7" t="str">
        <f>IF(Source!J195="","",ROUND(IF(UPPER(Source!M195)="W",-1,1)*(N(Source!J195)+N(Source!K195)/60+N(Source!L195)/3600),7))</f>
        <v/>
      </c>
      <c r="F195" s="7" t="str">
        <f>SUBSTITUTE(TRIM(Source!N195&amp;" "&amp;Source!O195&amp;" "&amp;Source!P195)," ","/")</f>
        <v/>
      </c>
      <c r="G195" s="7" t="str">
        <f>IF(Source!Q195="","",Source!Q195)</f>
        <v/>
      </c>
      <c r="H195" s="7" t="str">
        <f>IF(Source!R195="","",Source!R195)</f>
        <v/>
      </c>
      <c r="I195" s="7" t="str">
        <f>IF(Source!S195&lt;&gt;"",Source!S195,IF(Source!C195&lt;&gt;"",Source!C195,""))</f>
        <v/>
      </c>
      <c r="J195" s="7" t="str">
        <f>TRIM(Source!T195&amp;" "&amp;Source!U195&amp;" "&amp;IF(Source!V195="","",Source!V195&amp;"s")&amp;" "&amp;IF(Source!W195="","",Source!W195&amp;"M"))</f>
        <v/>
      </c>
      <c r="K195" s="7" t="str">
        <f>IF(Source!X195="","",Source!X195)</f>
        <v/>
      </c>
      <c r="L195" s="7" t="str">
        <f>IF(Source!Y195="","",Source!Y195)</f>
        <v/>
      </c>
      <c r="M195" s="7" t="str">
        <f>IF(Source!Z195="","",Source!Z195)</f>
        <v/>
      </c>
      <c r="N195" s="7" t="str">
        <f>IF(Source!AA195="","",Source!AA195)</f>
        <v/>
      </c>
      <c r="O195" s="7" t="str">
        <f>IF(Source!AB195="","",Source!AB195)</f>
        <v/>
      </c>
      <c r="P195" s="7" t="str">
        <f>IF(Source!AC195="","",Source!AC195)</f>
        <v/>
      </c>
      <c r="Q195" s="7" t="str">
        <f>IF(Source!AD195="","",TEXT(Source!AD195,"000000000"))</f>
        <v/>
      </c>
      <c r="R195" s="7" t="str">
        <f>IF(Source!AE195="","","physical AIS type "&amp;Source!AE195)</f>
        <v/>
      </c>
      <c r="S195" s="7" t="str">
        <f>IF(Source!AF195="","",IF(LEN(Source!AF195)=1,UPPER(Source!AF195),"yes"))</f>
        <v/>
      </c>
      <c r="T195" s="7" t="str">
        <f>IF(Source!AG195="","",Source!AG195)</f>
        <v/>
      </c>
      <c r="U195" s="7" t="str">
        <f>IF(Source!AH195="","",YEAR(Source!AH195)&amp;"-"&amp;TEXT(MONTH(Source!AH195),"00")&amp;"-"&amp;TEXT(DAY(Source!AH195),"00"))</f>
        <v/>
      </c>
      <c r="V195" s="7" t="str">
        <f>IF(Source!AI195="","",IF(OR(UPPER(Source!AI195)="YES",UPPER(Source!AI195)="Y"),"visually conspicuous",IF(OR(UPPER(Source!AI195)="NO",UPPER(Source!AI195)="N"),"not visually conspicuous",Source!AI195)))</f>
        <v/>
      </c>
      <c r="W195" s="7" t="str">
        <f>IF(Source!AJ195="","",Source!AJ195)</f>
        <v/>
      </c>
    </row>
    <row r="196">
      <c r="A196" s="7" t="str">
        <f>IF(Source!A196="","",Source!A196&amp;"")</f>
        <v/>
      </c>
      <c r="B196" s="7" t="str">
        <f>TRIM(Source!C196&amp;" "&amp;Source!B196&amp;" "&amp;Source!D196)</f>
        <v/>
      </c>
      <c r="C196" s="7" t="str">
        <f>IF(Source!E196="","",Source!E196)</f>
        <v/>
      </c>
      <c r="D196" s="7" t="str">
        <f>IF(Source!F196="","",ROUND(IF(UPPER(Source!I196)="S",-1,1)*(N(Source!F196)+N(Source!G196)/60+N(Source!H196)/3600),7))</f>
        <v/>
      </c>
      <c r="E196" s="7" t="str">
        <f>IF(Source!J196="","",ROUND(IF(UPPER(Source!M196)="W",-1,1)*(N(Source!J196)+N(Source!K196)/60+N(Source!L196)/3600),7))</f>
        <v/>
      </c>
      <c r="F196" s="7" t="str">
        <f>SUBSTITUTE(TRIM(Source!N196&amp;" "&amp;Source!O196&amp;" "&amp;Source!P196)," ","/")</f>
        <v/>
      </c>
      <c r="G196" s="7" t="str">
        <f>IF(Source!Q196="","",Source!Q196)</f>
        <v/>
      </c>
      <c r="H196" s="7" t="str">
        <f>IF(Source!R196="","",Source!R196)</f>
        <v/>
      </c>
      <c r="I196" s="7" t="str">
        <f>IF(Source!S196&lt;&gt;"",Source!S196,IF(Source!C196&lt;&gt;"",Source!C196,""))</f>
        <v/>
      </c>
      <c r="J196" s="7" t="str">
        <f>TRIM(Source!T196&amp;" "&amp;Source!U196&amp;" "&amp;IF(Source!V196="","",Source!V196&amp;"s")&amp;" "&amp;IF(Source!W196="","",Source!W196&amp;"M"))</f>
        <v/>
      </c>
      <c r="K196" s="7" t="str">
        <f>IF(Source!X196="","",Source!X196)</f>
        <v/>
      </c>
      <c r="L196" s="7" t="str">
        <f>IF(Source!Y196="","",Source!Y196)</f>
        <v/>
      </c>
      <c r="M196" s="7" t="str">
        <f>IF(Source!Z196="","",Source!Z196)</f>
        <v/>
      </c>
      <c r="N196" s="7" t="str">
        <f>IF(Source!AA196="","",Source!AA196)</f>
        <v/>
      </c>
      <c r="O196" s="7" t="str">
        <f>IF(Source!AB196="","",Source!AB196)</f>
        <v/>
      </c>
      <c r="P196" s="7" t="str">
        <f>IF(Source!AC196="","",Source!AC196)</f>
        <v/>
      </c>
      <c r="Q196" s="7" t="str">
        <f>IF(Source!AD196="","",TEXT(Source!AD196,"000000000"))</f>
        <v/>
      </c>
      <c r="R196" s="7" t="str">
        <f>IF(Source!AE196="","","physical AIS type "&amp;Source!AE196)</f>
        <v/>
      </c>
      <c r="S196" s="7" t="str">
        <f>IF(Source!AF196="","",IF(LEN(Source!AF196)=1,UPPER(Source!AF196),"yes"))</f>
        <v/>
      </c>
      <c r="T196" s="7" t="str">
        <f>IF(Source!AG196="","",Source!AG196)</f>
        <v/>
      </c>
      <c r="U196" s="7" t="str">
        <f>IF(Source!AH196="","",YEAR(Source!AH196)&amp;"-"&amp;TEXT(MONTH(Source!AH196),"00")&amp;"-"&amp;TEXT(DAY(Source!AH196),"00"))</f>
        <v/>
      </c>
      <c r="V196" s="7" t="str">
        <f>IF(Source!AI196="","",IF(OR(UPPER(Source!AI196)="YES",UPPER(Source!AI196)="Y"),"visually conspicuous",IF(OR(UPPER(Source!AI196)="NO",UPPER(Source!AI196)="N"),"not visually conspicuous",Source!AI196)))</f>
        <v/>
      </c>
      <c r="W196" s="7" t="str">
        <f>IF(Source!AJ196="","",Source!AJ196)</f>
        <v/>
      </c>
    </row>
    <row r="197">
      <c r="A197" s="7" t="str">
        <f>IF(Source!A197="","",Source!A197&amp;"")</f>
        <v/>
      </c>
      <c r="B197" s="7" t="str">
        <f>TRIM(Source!C197&amp;" "&amp;Source!B197&amp;" "&amp;Source!D197)</f>
        <v/>
      </c>
      <c r="C197" s="7" t="str">
        <f>IF(Source!E197="","",Source!E197)</f>
        <v/>
      </c>
      <c r="D197" s="7" t="str">
        <f>IF(Source!F197="","",ROUND(IF(UPPER(Source!I197)="S",-1,1)*(N(Source!F197)+N(Source!G197)/60+N(Source!H197)/3600),7))</f>
        <v/>
      </c>
      <c r="E197" s="7" t="str">
        <f>IF(Source!J197="","",ROUND(IF(UPPER(Source!M197)="W",-1,1)*(N(Source!J197)+N(Source!K197)/60+N(Source!L197)/3600),7))</f>
        <v/>
      </c>
      <c r="F197" s="7" t="str">
        <f>SUBSTITUTE(TRIM(Source!N197&amp;" "&amp;Source!O197&amp;" "&amp;Source!P197)," ","/")</f>
        <v/>
      </c>
      <c r="G197" s="7" t="str">
        <f>IF(Source!Q197="","",Source!Q197)</f>
        <v/>
      </c>
      <c r="H197" s="7" t="str">
        <f>IF(Source!R197="","",Source!R197)</f>
        <v/>
      </c>
      <c r="I197" s="7" t="str">
        <f>IF(Source!S197&lt;&gt;"",Source!S197,IF(Source!C197&lt;&gt;"",Source!C197,""))</f>
        <v/>
      </c>
      <c r="J197" s="7" t="str">
        <f>TRIM(Source!T197&amp;" "&amp;Source!U197&amp;" "&amp;IF(Source!V197="","",Source!V197&amp;"s")&amp;" "&amp;IF(Source!W197="","",Source!W197&amp;"M"))</f>
        <v/>
      </c>
      <c r="K197" s="7" t="str">
        <f>IF(Source!X197="","",Source!X197)</f>
        <v/>
      </c>
      <c r="L197" s="7" t="str">
        <f>IF(Source!Y197="","",Source!Y197)</f>
        <v/>
      </c>
      <c r="M197" s="7" t="str">
        <f>IF(Source!Z197="","",Source!Z197)</f>
        <v/>
      </c>
      <c r="N197" s="7" t="str">
        <f>IF(Source!AA197="","",Source!AA197)</f>
        <v/>
      </c>
      <c r="O197" s="7" t="str">
        <f>IF(Source!AB197="","",Source!AB197)</f>
        <v/>
      </c>
      <c r="P197" s="7" t="str">
        <f>IF(Source!AC197="","",Source!AC197)</f>
        <v/>
      </c>
      <c r="Q197" s="7" t="str">
        <f>IF(Source!AD197="","",TEXT(Source!AD197,"000000000"))</f>
        <v/>
      </c>
      <c r="R197" s="7" t="str">
        <f>IF(Source!AE197="","","physical AIS type "&amp;Source!AE197)</f>
        <v/>
      </c>
      <c r="S197" s="7" t="str">
        <f>IF(Source!AF197="","",IF(LEN(Source!AF197)=1,UPPER(Source!AF197),"yes"))</f>
        <v/>
      </c>
      <c r="T197" s="7" t="str">
        <f>IF(Source!AG197="","",Source!AG197)</f>
        <v/>
      </c>
      <c r="U197" s="7" t="str">
        <f>IF(Source!AH197="","",YEAR(Source!AH197)&amp;"-"&amp;TEXT(MONTH(Source!AH197),"00")&amp;"-"&amp;TEXT(DAY(Source!AH197),"00"))</f>
        <v/>
      </c>
      <c r="V197" s="7" t="str">
        <f>IF(Source!AI197="","",IF(OR(UPPER(Source!AI197)="YES",UPPER(Source!AI197)="Y"),"visually conspicuous",IF(OR(UPPER(Source!AI197)="NO",UPPER(Source!AI197)="N"),"not visually conspicuous",Source!AI197)))</f>
        <v/>
      </c>
      <c r="W197" s="7" t="str">
        <f>IF(Source!AJ197="","",Source!AJ197)</f>
        <v/>
      </c>
    </row>
    <row r="198">
      <c r="A198" s="7" t="str">
        <f>IF(Source!A198="","",Source!A198&amp;"")</f>
        <v/>
      </c>
      <c r="B198" s="7" t="str">
        <f>TRIM(Source!C198&amp;" "&amp;Source!B198&amp;" "&amp;Source!D198)</f>
        <v/>
      </c>
      <c r="C198" s="7" t="str">
        <f>IF(Source!E198="","",Source!E198)</f>
        <v/>
      </c>
      <c r="D198" s="7" t="str">
        <f>IF(Source!F198="","",ROUND(IF(UPPER(Source!I198)="S",-1,1)*(N(Source!F198)+N(Source!G198)/60+N(Source!H198)/3600),7))</f>
        <v/>
      </c>
      <c r="E198" s="7" t="str">
        <f>IF(Source!J198="","",ROUND(IF(UPPER(Source!M198)="W",-1,1)*(N(Source!J198)+N(Source!K198)/60+N(Source!L198)/3600),7))</f>
        <v/>
      </c>
      <c r="F198" s="7" t="str">
        <f>SUBSTITUTE(TRIM(Source!N198&amp;" "&amp;Source!O198&amp;" "&amp;Source!P198)," ","/")</f>
        <v/>
      </c>
      <c r="G198" s="7" t="str">
        <f>IF(Source!Q198="","",Source!Q198)</f>
        <v/>
      </c>
      <c r="H198" s="7" t="str">
        <f>IF(Source!R198="","",Source!R198)</f>
        <v/>
      </c>
      <c r="I198" s="7" t="str">
        <f>IF(Source!S198&lt;&gt;"",Source!S198,IF(Source!C198&lt;&gt;"",Source!C198,""))</f>
        <v/>
      </c>
      <c r="J198" s="7" t="str">
        <f>TRIM(Source!T198&amp;" "&amp;Source!U198&amp;" "&amp;IF(Source!V198="","",Source!V198&amp;"s")&amp;" "&amp;IF(Source!W198="","",Source!W198&amp;"M"))</f>
        <v/>
      </c>
      <c r="K198" s="7" t="str">
        <f>IF(Source!X198="","",Source!X198)</f>
        <v/>
      </c>
      <c r="L198" s="7" t="str">
        <f>IF(Source!Y198="","",Source!Y198)</f>
        <v/>
      </c>
      <c r="M198" s="7" t="str">
        <f>IF(Source!Z198="","",Source!Z198)</f>
        <v/>
      </c>
      <c r="N198" s="7" t="str">
        <f>IF(Source!AA198="","",Source!AA198)</f>
        <v/>
      </c>
      <c r="O198" s="7" t="str">
        <f>IF(Source!AB198="","",Source!AB198)</f>
        <v/>
      </c>
      <c r="P198" s="7" t="str">
        <f>IF(Source!AC198="","",Source!AC198)</f>
        <v/>
      </c>
      <c r="Q198" s="7" t="str">
        <f>IF(Source!AD198="","",TEXT(Source!AD198,"000000000"))</f>
        <v/>
      </c>
      <c r="R198" s="7" t="str">
        <f>IF(Source!AE198="","","physical AIS type "&amp;Source!AE198)</f>
        <v/>
      </c>
      <c r="S198" s="7" t="str">
        <f>IF(Source!AF198="","",IF(LEN(Source!AF198)=1,UPPER(Source!AF198),"yes"))</f>
        <v/>
      </c>
      <c r="T198" s="7" t="str">
        <f>IF(Source!AG198="","",Source!AG198)</f>
        <v/>
      </c>
      <c r="U198" s="7" t="str">
        <f>IF(Source!AH198="","",YEAR(Source!AH198)&amp;"-"&amp;TEXT(MONTH(Source!AH198),"00")&amp;"-"&amp;TEXT(DAY(Source!AH198),"00"))</f>
        <v/>
      </c>
      <c r="V198" s="7" t="str">
        <f>IF(Source!AI198="","",IF(OR(UPPER(Source!AI198)="YES",UPPER(Source!AI198)="Y"),"visually conspicuous",IF(OR(UPPER(Source!AI198)="NO",UPPER(Source!AI198)="N"),"not visually conspicuous",Source!AI198)))</f>
        <v/>
      </c>
      <c r="W198" s="7" t="str">
        <f>IF(Source!AJ198="","",Source!AJ198)</f>
        <v/>
      </c>
    </row>
    <row r="199">
      <c r="A199" s="7" t="str">
        <f>IF(Source!A199="","",Source!A199&amp;"")</f>
        <v/>
      </c>
      <c r="B199" s="7" t="str">
        <f>TRIM(Source!C199&amp;" "&amp;Source!B199&amp;" "&amp;Source!D199)</f>
        <v/>
      </c>
      <c r="C199" s="7" t="str">
        <f>IF(Source!E199="","",Source!E199)</f>
        <v/>
      </c>
      <c r="D199" s="7" t="str">
        <f>IF(Source!F199="","",ROUND(IF(UPPER(Source!I199)="S",-1,1)*(N(Source!F199)+N(Source!G199)/60+N(Source!H199)/3600),7))</f>
        <v/>
      </c>
      <c r="E199" s="7" t="str">
        <f>IF(Source!J199="","",ROUND(IF(UPPER(Source!M199)="W",-1,1)*(N(Source!J199)+N(Source!K199)/60+N(Source!L199)/3600),7))</f>
        <v/>
      </c>
      <c r="F199" s="7" t="str">
        <f>SUBSTITUTE(TRIM(Source!N199&amp;" "&amp;Source!O199&amp;" "&amp;Source!P199)," ","/")</f>
        <v/>
      </c>
      <c r="G199" s="7" t="str">
        <f>IF(Source!Q199="","",Source!Q199)</f>
        <v/>
      </c>
      <c r="H199" s="7" t="str">
        <f>IF(Source!R199="","",Source!R199)</f>
        <v/>
      </c>
      <c r="I199" s="7" t="str">
        <f>IF(Source!S199&lt;&gt;"",Source!S199,IF(Source!C199&lt;&gt;"",Source!C199,""))</f>
        <v/>
      </c>
      <c r="J199" s="7" t="str">
        <f>TRIM(Source!T199&amp;" "&amp;Source!U199&amp;" "&amp;IF(Source!V199="","",Source!V199&amp;"s")&amp;" "&amp;IF(Source!W199="","",Source!W199&amp;"M"))</f>
        <v/>
      </c>
      <c r="K199" s="7" t="str">
        <f>IF(Source!X199="","",Source!X199)</f>
        <v/>
      </c>
      <c r="L199" s="7" t="str">
        <f>IF(Source!Y199="","",Source!Y199)</f>
        <v/>
      </c>
      <c r="M199" s="7" t="str">
        <f>IF(Source!Z199="","",Source!Z199)</f>
        <v/>
      </c>
      <c r="N199" s="7" t="str">
        <f>IF(Source!AA199="","",Source!AA199)</f>
        <v/>
      </c>
      <c r="O199" s="7" t="str">
        <f>IF(Source!AB199="","",Source!AB199)</f>
        <v/>
      </c>
      <c r="P199" s="7" t="str">
        <f>IF(Source!AC199="","",Source!AC199)</f>
        <v/>
      </c>
      <c r="Q199" s="7" t="str">
        <f>IF(Source!AD199="","",TEXT(Source!AD199,"000000000"))</f>
        <v/>
      </c>
      <c r="R199" s="7" t="str">
        <f>IF(Source!AE199="","","physical AIS type "&amp;Source!AE199)</f>
        <v/>
      </c>
      <c r="S199" s="7" t="str">
        <f>IF(Source!AF199="","",IF(LEN(Source!AF199)=1,UPPER(Source!AF199),"yes"))</f>
        <v/>
      </c>
      <c r="T199" s="7" t="str">
        <f>IF(Source!AG199="","",Source!AG199)</f>
        <v/>
      </c>
      <c r="U199" s="7" t="str">
        <f>IF(Source!AH199="","",YEAR(Source!AH199)&amp;"-"&amp;TEXT(MONTH(Source!AH199),"00")&amp;"-"&amp;TEXT(DAY(Source!AH199),"00"))</f>
        <v/>
      </c>
      <c r="V199" s="7" t="str">
        <f>IF(Source!AI199="","",IF(OR(UPPER(Source!AI199)="YES",UPPER(Source!AI199)="Y"),"visually conspicuous",IF(OR(UPPER(Source!AI199)="NO",UPPER(Source!AI199)="N"),"not visually conspicuous",Source!AI199)))</f>
        <v/>
      </c>
      <c r="W199" s="7" t="str">
        <f>IF(Source!AJ199="","",Source!AJ199)</f>
        <v/>
      </c>
    </row>
    <row r="200">
      <c r="A200" s="7" t="str">
        <f>IF(Source!A200="","",Source!A200&amp;"")</f>
        <v/>
      </c>
      <c r="B200" s="7" t="str">
        <f>TRIM(Source!C200&amp;" "&amp;Source!B200&amp;" "&amp;Source!D200)</f>
        <v/>
      </c>
      <c r="C200" s="7" t="str">
        <f>IF(Source!E200="","",Source!E200)</f>
        <v/>
      </c>
      <c r="D200" s="7" t="str">
        <f>IF(Source!F200="","",ROUND(IF(UPPER(Source!I200)="S",-1,1)*(N(Source!F200)+N(Source!G200)/60+N(Source!H200)/3600),7))</f>
        <v/>
      </c>
      <c r="E200" s="7" t="str">
        <f>IF(Source!J200="","",ROUND(IF(UPPER(Source!M200)="W",-1,1)*(N(Source!J200)+N(Source!K200)/60+N(Source!L200)/3600),7))</f>
        <v/>
      </c>
      <c r="F200" s="7" t="str">
        <f>SUBSTITUTE(TRIM(Source!N200&amp;" "&amp;Source!O200&amp;" "&amp;Source!P200)," ","/")</f>
        <v/>
      </c>
      <c r="G200" s="7" t="str">
        <f>IF(Source!Q200="","",Source!Q200)</f>
        <v/>
      </c>
      <c r="H200" s="7" t="str">
        <f>IF(Source!R200="","",Source!R200)</f>
        <v/>
      </c>
      <c r="I200" s="7" t="str">
        <f>IF(Source!S200&lt;&gt;"",Source!S200,IF(Source!C200&lt;&gt;"",Source!C200,""))</f>
        <v/>
      </c>
      <c r="J200" s="7" t="str">
        <f>TRIM(Source!T200&amp;" "&amp;Source!U200&amp;" "&amp;IF(Source!V200="","",Source!V200&amp;"s")&amp;" "&amp;IF(Source!W200="","",Source!W200&amp;"M"))</f>
        <v/>
      </c>
      <c r="K200" s="7" t="str">
        <f>IF(Source!X200="","",Source!X200)</f>
        <v/>
      </c>
      <c r="L200" s="7" t="str">
        <f>IF(Source!Y200="","",Source!Y200)</f>
        <v/>
      </c>
      <c r="M200" s="7" t="str">
        <f>IF(Source!Z200="","",Source!Z200)</f>
        <v/>
      </c>
      <c r="N200" s="7" t="str">
        <f>IF(Source!AA200="","",Source!AA200)</f>
        <v/>
      </c>
      <c r="O200" s="7" t="str">
        <f>IF(Source!AB200="","",Source!AB200)</f>
        <v/>
      </c>
      <c r="P200" s="7" t="str">
        <f>IF(Source!AC200="","",Source!AC200)</f>
        <v/>
      </c>
      <c r="Q200" s="7" t="str">
        <f>IF(Source!AD200="","",TEXT(Source!AD200,"000000000"))</f>
        <v/>
      </c>
      <c r="R200" s="7" t="str">
        <f>IF(Source!AE200="","","physical AIS type "&amp;Source!AE200)</f>
        <v/>
      </c>
      <c r="S200" s="7" t="str">
        <f>IF(Source!AF200="","",IF(LEN(Source!AF200)=1,UPPER(Source!AF200),"yes"))</f>
        <v/>
      </c>
      <c r="T200" s="7" t="str">
        <f>IF(Source!AG200="","",Source!AG200)</f>
        <v/>
      </c>
      <c r="U200" s="7" t="str">
        <f>IF(Source!AH200="","",YEAR(Source!AH200)&amp;"-"&amp;TEXT(MONTH(Source!AH200),"00")&amp;"-"&amp;TEXT(DAY(Source!AH200),"00"))</f>
        <v/>
      </c>
      <c r="V200" s="7" t="str">
        <f>IF(Source!AI200="","",IF(OR(UPPER(Source!AI200)="YES",UPPER(Source!AI200)="Y"),"visually conspicuous",IF(OR(UPPER(Source!AI200)="NO",UPPER(Source!AI200)="N"),"not visually conspicuous",Source!AI200)))</f>
        <v/>
      </c>
      <c r="W200" s="7" t="str">
        <f>IF(Source!AJ200="","",Source!AJ200)</f>
        <v/>
      </c>
    </row>
    <row r="201">
      <c r="A201" s="7" t="str">
        <f>IF(Source!A201="","",Source!A201&amp;"")</f>
        <v/>
      </c>
      <c r="B201" s="7" t="str">
        <f>TRIM(Source!C201&amp;" "&amp;Source!B201&amp;" "&amp;Source!D201)</f>
        <v/>
      </c>
      <c r="C201" s="7" t="str">
        <f>IF(Source!E201="","",Source!E201)</f>
        <v/>
      </c>
      <c r="D201" s="7" t="str">
        <f>IF(Source!F201="","",ROUND(IF(UPPER(Source!I201)="S",-1,1)*(N(Source!F201)+N(Source!G201)/60+N(Source!H201)/3600),7))</f>
        <v/>
      </c>
      <c r="E201" s="7" t="str">
        <f>IF(Source!J201="","",ROUND(IF(UPPER(Source!M201)="W",-1,1)*(N(Source!J201)+N(Source!K201)/60+N(Source!L201)/3600),7))</f>
        <v/>
      </c>
      <c r="F201" s="7" t="str">
        <f>SUBSTITUTE(TRIM(Source!N201&amp;" "&amp;Source!O201&amp;" "&amp;Source!P201)," ","/")</f>
        <v/>
      </c>
      <c r="G201" s="7" t="str">
        <f>IF(Source!Q201="","",Source!Q201)</f>
        <v/>
      </c>
      <c r="H201" s="7" t="str">
        <f>IF(Source!R201="","",Source!R201)</f>
        <v/>
      </c>
      <c r="I201" s="7" t="str">
        <f>IF(Source!S201&lt;&gt;"",Source!S201,IF(Source!C201&lt;&gt;"",Source!C201,""))</f>
        <v/>
      </c>
      <c r="J201" s="7" t="str">
        <f>TRIM(Source!T201&amp;" "&amp;Source!U201&amp;" "&amp;IF(Source!V201="","",Source!V201&amp;"s")&amp;" "&amp;IF(Source!W201="","",Source!W201&amp;"M"))</f>
        <v/>
      </c>
      <c r="K201" s="7" t="str">
        <f>IF(Source!X201="","",Source!X201)</f>
        <v/>
      </c>
      <c r="L201" s="7" t="str">
        <f>IF(Source!Y201="","",Source!Y201)</f>
        <v/>
      </c>
      <c r="M201" s="7" t="str">
        <f>IF(Source!Z201="","",Source!Z201)</f>
        <v/>
      </c>
      <c r="N201" s="7" t="str">
        <f>IF(Source!AA201="","",Source!AA201)</f>
        <v/>
      </c>
      <c r="O201" s="7" t="str">
        <f>IF(Source!AB201="","",Source!AB201)</f>
        <v/>
      </c>
      <c r="P201" s="7" t="str">
        <f>IF(Source!AC201="","",Source!AC201)</f>
        <v/>
      </c>
      <c r="Q201" s="7" t="str">
        <f>IF(Source!AD201="","",TEXT(Source!AD201,"000000000"))</f>
        <v/>
      </c>
      <c r="R201" s="7" t="str">
        <f>IF(Source!AE201="","","physical AIS type "&amp;Source!AE201)</f>
        <v/>
      </c>
      <c r="S201" s="7" t="str">
        <f>IF(Source!AF201="","",IF(LEN(Source!AF201)=1,UPPER(Source!AF201),"yes"))</f>
        <v/>
      </c>
      <c r="T201" s="7" t="str">
        <f>IF(Source!AG201="","",Source!AG201)</f>
        <v/>
      </c>
      <c r="U201" s="7" t="str">
        <f>IF(Source!AH201="","",YEAR(Source!AH201)&amp;"-"&amp;TEXT(MONTH(Source!AH201),"00")&amp;"-"&amp;TEXT(DAY(Source!AH201),"00"))</f>
        <v/>
      </c>
      <c r="V201" s="7" t="str">
        <f>IF(Source!AI201="","",IF(OR(UPPER(Source!AI201)="YES",UPPER(Source!AI201)="Y"),"visually conspicuous",IF(OR(UPPER(Source!AI201)="NO",UPPER(Source!AI201)="N"),"not visually conspicuous",Source!AI201)))</f>
        <v/>
      </c>
      <c r="W201" s="7" t="str">
        <f>IF(Source!AJ201="","",Source!AJ201)</f>
        <v/>
      </c>
    </row>
    <row r="202">
      <c r="A202" s="7" t="str">
        <f>IF(Source!A202="","",Source!A202&amp;"")</f>
        <v/>
      </c>
      <c r="B202" s="7" t="str">
        <f>TRIM(Source!C202&amp;" "&amp;Source!B202&amp;" "&amp;Source!D202)</f>
        <v/>
      </c>
      <c r="C202" s="7" t="str">
        <f>IF(Source!E202="","",Source!E202)</f>
        <v/>
      </c>
      <c r="D202" s="7" t="str">
        <f>IF(Source!F202="","",ROUND(IF(UPPER(Source!I202)="S",-1,1)*(N(Source!F202)+N(Source!G202)/60+N(Source!H202)/3600),7))</f>
        <v/>
      </c>
      <c r="E202" s="7" t="str">
        <f>IF(Source!J202="","",ROUND(IF(UPPER(Source!M202)="W",-1,1)*(N(Source!J202)+N(Source!K202)/60+N(Source!L202)/3600),7))</f>
        <v/>
      </c>
      <c r="F202" s="7" t="str">
        <f>SUBSTITUTE(TRIM(Source!N202&amp;" "&amp;Source!O202&amp;" "&amp;Source!P202)," ","/")</f>
        <v/>
      </c>
      <c r="G202" s="7" t="str">
        <f>IF(Source!Q202="","",Source!Q202)</f>
        <v/>
      </c>
      <c r="H202" s="7" t="str">
        <f>IF(Source!R202="","",Source!R202)</f>
        <v/>
      </c>
      <c r="I202" s="7" t="str">
        <f>IF(Source!S202&lt;&gt;"",Source!S202,IF(Source!C202&lt;&gt;"",Source!C202,""))</f>
        <v/>
      </c>
      <c r="J202" s="7" t="str">
        <f>TRIM(Source!T202&amp;" "&amp;Source!U202&amp;" "&amp;IF(Source!V202="","",Source!V202&amp;"s")&amp;" "&amp;IF(Source!W202="","",Source!W202&amp;"M"))</f>
        <v/>
      </c>
      <c r="K202" s="7" t="str">
        <f>IF(Source!X202="","",Source!X202)</f>
        <v/>
      </c>
      <c r="L202" s="7" t="str">
        <f>IF(Source!Y202="","",Source!Y202)</f>
        <v/>
      </c>
      <c r="M202" s="7" t="str">
        <f>IF(Source!Z202="","",Source!Z202)</f>
        <v/>
      </c>
      <c r="N202" s="7" t="str">
        <f>IF(Source!AA202="","",Source!AA202)</f>
        <v/>
      </c>
      <c r="O202" s="7" t="str">
        <f>IF(Source!AB202="","",Source!AB202)</f>
        <v/>
      </c>
      <c r="P202" s="7" t="str">
        <f>IF(Source!AC202="","",Source!AC202)</f>
        <v/>
      </c>
      <c r="Q202" s="7" t="str">
        <f>IF(Source!AD202="","",TEXT(Source!AD202,"000000000"))</f>
        <v/>
      </c>
      <c r="R202" s="7" t="str">
        <f>IF(Source!AE202="","","physical AIS type "&amp;Source!AE202)</f>
        <v/>
      </c>
      <c r="S202" s="7" t="str">
        <f>IF(Source!AF202="","",IF(LEN(Source!AF202)=1,UPPER(Source!AF202),"yes"))</f>
        <v/>
      </c>
      <c r="T202" s="7" t="str">
        <f>IF(Source!AG202="","",Source!AG202)</f>
        <v/>
      </c>
      <c r="U202" s="7" t="str">
        <f>IF(Source!AH202="","",YEAR(Source!AH202)&amp;"-"&amp;TEXT(MONTH(Source!AH202),"00")&amp;"-"&amp;TEXT(DAY(Source!AH202),"00"))</f>
        <v/>
      </c>
      <c r="V202" s="7" t="str">
        <f>IF(Source!AI202="","",IF(OR(UPPER(Source!AI202)="YES",UPPER(Source!AI202)="Y"),"visually conspicuous",IF(OR(UPPER(Source!AI202)="NO",UPPER(Source!AI202)="N"),"not visually conspicuous",Source!AI202)))</f>
        <v/>
      </c>
      <c r="W202" s="7" t="str">
        <f>IF(Source!AJ202="","",Source!AJ202)</f>
        <v/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workbookViewId="0" tabSelected="1">
      <pane ySplit="2" topLeftCell="A3" activePane="bottomLeft" state="frozen"/>
      <selection pane="bottomLeft" activeCell="A3" sqref="A3"/>
    </sheetView>
  </sheetViews>
  <sheetFormatPr defaultRowHeight="13"/>
  <cols>
    <col min="1" max="1" width="9" customWidth="1"/>
    <col min="2" max="2" width="15" customWidth="1"/>
    <col min="3" max="3" width="26" customWidth="1"/>
    <col min="4" max="4" width="10" customWidth="1"/>
    <col min="5" max="5" width="18" customWidth="1"/>
    <col min="6" max="6" width="6" customWidth="1"/>
    <col min="7" max="7" width="7" customWidth="1"/>
    <col min="8" max="8" width="6" customWidth="1"/>
    <col min="9" max="9" width="5" customWidth="1"/>
    <col min="10" max="10" width="6" customWidth="1"/>
    <col min="11" max="11" width="7" customWidth="1"/>
    <col min="12" max="12" width="6" customWidth="1"/>
    <col min="13" max="13" width="5" customWidth="1"/>
    <col min="14" max="14" width="9" customWidth="1"/>
    <col min="15" max="15" width="9" customWidth="1"/>
    <col min="16" max="16" width="9" customWidth="1"/>
    <col min="17" max="17" width="17" customWidth="1"/>
    <col min="18" max="18" width="10" customWidth="1"/>
    <col min="19" max="19" width="26" customWidth="1"/>
    <col min="20" max="20" width="12" customWidth="1"/>
    <col min="21" max="21" width="11" customWidth="1"/>
    <col min="22" max="22" width="10" customWidth="1"/>
    <col min="23" max="23" width="11" customWidth="1"/>
    <col min="24" max="24" width="14" customWidth="1"/>
    <col min="25" max="25" width="10" customWidth="1"/>
    <col min="26" max="26" width="22" customWidth="1"/>
    <col min="27" max="27" width="14" customWidth="1"/>
    <col min="28" max="28" width="11" customWidth="1"/>
    <col min="29" max="29" width="13" customWidth="1"/>
    <col min="30" max="30" width="11" customWidth="1"/>
    <col min="31" max="31" width="9" customWidth="1"/>
    <col min="32" max="32" width="7" customWidth="1"/>
    <col min="33" max="33" width="13" customWidth="1"/>
    <col min="34" max="34" width="11" customWidth="1"/>
    <col min="35" max="35" width="12" customWidth="1"/>
    <col min="36" max="36" width="26" customWidth="1"/>
  </cols>
  <sheetData>
    <row r="1">
      <c r="A1" s="5" t="inlineStr">
        <is>
          <t xml:space="preserve">Source — type one aid per row in the yellow cells (drop-downs offer the accepted words). The first rows are fictional examples: overwrite or delete them. The S-201 list sheet fills itself.</t>
        </is>
      </c>
    </row>
    <row r="2">
      <c r="A2" s="1" t="inlineStr">
        <is>
          <t xml:space="preserve">No</t>
        </is>
      </c>
      <c r="B2" s="1" t="inlineStr">
        <is>
          <t xml:space="preserve">Type</t>
        </is>
      </c>
      <c r="C2" s="1" t="inlineStr">
        <is>
          <t xml:space="preserve">Side / direction</t>
        </is>
      </c>
      <c r="D2" s="1" t="inlineStr">
        <is>
          <t xml:space="preserve">Structure</t>
        </is>
      </c>
      <c r="E2" s="1" t="inlineStr">
        <is>
          <t xml:space="preserve">Name</t>
        </is>
      </c>
      <c r="F2" s="1" t="inlineStr">
        <is>
          <t xml:space="preserve">Lat °</t>
        </is>
      </c>
      <c r="G2" s="1" t="inlineStr">
        <is>
          <t xml:space="preserve">Lat '</t>
        </is>
      </c>
      <c r="H2" s="1" t="inlineStr">
        <is>
          <t xml:space="preserve">Lat "</t>
        </is>
      </c>
      <c r="I2" s="1" t="inlineStr">
        <is>
          <t xml:space="preserve">N/S</t>
        </is>
      </c>
      <c r="J2" s="1" t="inlineStr">
        <is>
          <t xml:space="preserve">Lon °</t>
        </is>
      </c>
      <c r="K2" s="1" t="inlineStr">
        <is>
          <t xml:space="preserve">Lon '</t>
        </is>
      </c>
      <c r="L2" s="1" t="inlineStr">
        <is>
          <t xml:space="preserve">Lon "</t>
        </is>
      </c>
      <c r="M2" s="1" t="inlineStr">
        <is>
          <t xml:space="preserve">E/W</t>
        </is>
      </c>
      <c r="N2" s="1" t="inlineStr">
        <is>
          <t xml:space="preserve">Colour 1</t>
        </is>
      </c>
      <c r="O2" s="1" t="inlineStr">
        <is>
          <t xml:space="preserve">Colour 2</t>
        </is>
      </c>
      <c r="P2" s="1" t="inlineStr">
        <is>
          <t xml:space="preserve">Colour 3</t>
        </is>
      </c>
      <c r="Q2" s="1" t="inlineStr">
        <is>
          <t xml:space="preserve">Colour pattern</t>
        </is>
      </c>
      <c r="R2" s="1" t="inlineStr">
        <is>
          <t xml:space="preserve">Shape</t>
        </is>
      </c>
      <c r="S2" s="1" t="inlineStr">
        <is>
          <t xml:space="preserve">Special-purpose category</t>
        </is>
      </c>
      <c r="T2" s="1" t="inlineStr">
        <is>
          <t xml:space="preserve">Light rhythm</t>
        </is>
      </c>
      <c r="U2" s="1" t="inlineStr">
        <is>
          <t xml:space="preserve">Light colour</t>
        </is>
      </c>
      <c r="V2" s="1" t="inlineStr">
        <is>
          <t xml:space="preserve">Period (s)</t>
        </is>
      </c>
      <c r="W2" s="1" t="inlineStr">
        <is>
          <t xml:space="preserve">Range (NM)</t>
        </is>
      </c>
      <c r="X2" s="1" t="inlineStr">
        <is>
          <t xml:space="preserve">Focal height (m)</t>
        </is>
      </c>
      <c r="Y2" s="1" t="inlineStr">
        <is>
          <t xml:space="preserve">Height (m)</t>
        </is>
      </c>
      <c r="Z2" s="1" t="inlineStr">
        <is>
          <t xml:space="preserve">Topmark</t>
        </is>
      </c>
      <c r="AA2" s="1" t="inlineStr">
        <is>
          <t xml:space="preserve">Topmark colour</t>
        </is>
      </c>
      <c r="AB2" s="1" t="inlineStr">
        <is>
          <t xml:space="preserve">Fog signal</t>
        </is>
      </c>
      <c r="AC2" s="1" t="inlineStr">
        <is>
          <t xml:space="preserve">Fog period (s)</t>
        </is>
      </c>
      <c r="AD2" s="1" t="inlineStr">
        <is>
          <t xml:space="preserve">MMSI</t>
        </is>
      </c>
      <c r="AE2" s="1" t="inlineStr">
        <is>
          <t xml:space="preserve">AIS type</t>
        </is>
      </c>
      <c r="AF2" s="1" t="inlineStr">
        <is>
          <t xml:space="preserve">Racon</t>
        </is>
      </c>
      <c r="AG2" s="1" t="inlineStr">
        <is>
          <t xml:space="preserve">Status</t>
        </is>
      </c>
      <c r="AH2" s="1" t="inlineStr">
        <is>
          <t xml:space="preserve">Installed</t>
        </is>
      </c>
      <c r="AI2" s="1" t="inlineStr">
        <is>
          <t xml:space="preserve">Visually conspicuous</t>
        </is>
      </c>
      <c r="AJ2" s="1" t="inlineStr">
        <is>
          <t xml:space="preserve">Remarks</t>
        </is>
      </c>
    </row>
    <row r="3">
      <c r="A3" s="4" t="inlineStr">
        <is>
          <t xml:space="preserve">XX-001</t>
        </is>
      </c>
      <c r="B3" s="4" t="inlineStr">
        <is>
          <t xml:space="preserve">Safe water</t>
        </is>
      </c>
      <c r="C3" s="4"/>
      <c r="D3" s="4" t="inlineStr">
        <is>
          <t xml:space="preserve">buoy</t>
        </is>
      </c>
      <c r="E3" s="4" t="inlineStr">
        <is>
          <t xml:space="preserve">Alfa Approach</t>
        </is>
      </c>
      <c r="F3" s="4">
        <v>15</v>
      </c>
      <c r="G3" s="4">
        <v>30</v>
      </c>
      <c r="H3" s="4"/>
      <c r="I3" s="4" t="inlineStr">
        <is>
          <t xml:space="preserve">N</t>
        </is>
      </c>
      <c r="J3" s="4">
        <v>88</v>
      </c>
      <c r="K3" s="4">
        <v>12</v>
      </c>
      <c r="L3" s="4"/>
      <c r="M3" s="4" t="inlineStr">
        <is>
          <t xml:space="preserve">E</t>
        </is>
      </c>
      <c r="N3" s="4" t="inlineStr">
        <is>
          <t xml:space="preserve">red</t>
        </is>
      </c>
      <c r="O3" s="4" t="inlineStr">
        <is>
          <t xml:space="preserve">white</t>
        </is>
      </c>
      <c r="P3" s="4"/>
      <c r="Q3" s="4" t="inlineStr">
        <is>
          <t xml:space="preserve">vertical stripes</t>
        </is>
      </c>
      <c r="R3" s="4" t="inlineStr">
        <is>
          <t xml:space="preserve">pillar</t>
        </is>
      </c>
      <c r="S3" s="4"/>
      <c r="T3" s="4" t="inlineStr">
        <is>
          <t xml:space="preserve">LFl</t>
        </is>
      </c>
      <c r="U3" s="4" t="inlineStr">
        <is>
          <t xml:space="preserve">W</t>
        </is>
      </c>
      <c r="V3" s="4">
        <v>10</v>
      </c>
      <c r="W3" s="4">
        <v>8</v>
      </c>
      <c r="X3" s="4"/>
      <c r="Y3" s="4">
        <v>4</v>
      </c>
      <c r="Z3" s="4" t="inlineStr">
        <is>
          <t xml:space="preserve">sphere</t>
        </is>
      </c>
      <c r="AA3" s="4" t="inlineStr">
        <is>
          <t xml:space="preserve">red</t>
        </is>
      </c>
      <c r="AB3" s="4"/>
      <c r="AC3" s="4"/>
      <c r="AD3" s="4"/>
      <c r="AE3" s="4"/>
      <c r="AF3" s="4"/>
      <c r="AG3" s="4" t="inlineStr">
        <is>
          <t xml:space="preserve">permanent</t>
        </is>
      </c>
      <c r="AH3" s="3">
        <v>43539</v>
      </c>
      <c r="AI3" s="4"/>
      <c r="AJ3" s="4" t="inlineStr">
        <is>
          <t xml:space="preserve">Fairway buoy</t>
        </is>
      </c>
    </row>
    <row r="4">
      <c r="A4" s="4" t="inlineStr">
        <is>
          <t xml:space="preserve">XX-002</t>
        </is>
      </c>
      <c r="B4" s="4" t="inlineStr">
        <is>
          <t xml:space="preserve">Lateral</t>
        </is>
      </c>
      <c r="C4" s="4" t="inlineStr">
        <is>
          <t xml:space="preserve">port</t>
        </is>
      </c>
      <c r="D4" s="4" t="inlineStr">
        <is>
          <t xml:space="preserve">buoy</t>
        </is>
      </c>
      <c r="E4" s="4" t="inlineStr">
        <is>
          <t xml:space="preserve">Bravo Point</t>
        </is>
      </c>
      <c r="F4" s="4">
        <v>15</v>
      </c>
      <c r="G4" s="4">
        <v>31</v>
      </c>
      <c r="H4" s="4">
        <v>1.2</v>
      </c>
      <c r="I4" s="4" t="inlineStr">
        <is>
          <t xml:space="preserve">N</t>
        </is>
      </c>
      <c r="J4" s="4">
        <v>88</v>
      </c>
      <c r="K4" s="4">
        <v>13</v>
      </c>
      <c r="L4" s="4">
        <v>1.2</v>
      </c>
      <c r="M4" s="4" t="inlineStr">
        <is>
          <t xml:space="preserve">E</t>
        </is>
      </c>
      <c r="N4" s="4" t="inlineStr">
        <is>
          <t xml:space="preserve">red</t>
        </is>
      </c>
      <c r="O4" s="4"/>
      <c r="P4" s="4"/>
      <c r="Q4" s="4"/>
      <c r="R4" s="4" t="inlineStr">
        <is>
          <t xml:space="preserve">can</t>
        </is>
      </c>
      <c r="S4" s="4"/>
      <c r="T4" s="4" t="inlineStr">
        <is>
          <t xml:space="preserve">Fl</t>
        </is>
      </c>
      <c r="U4" s="4" t="inlineStr">
        <is>
          <t xml:space="preserve">R</t>
        </is>
      </c>
      <c r="V4" s="4">
        <v>4</v>
      </c>
      <c r="W4" s="4">
        <v>5</v>
      </c>
      <c r="X4" s="4"/>
      <c r="Y4" s="4"/>
      <c r="Z4" s="4" t="inlineStr">
        <is>
          <t xml:space="preserve">cylinder</t>
        </is>
      </c>
      <c r="AA4" s="4" t="inlineStr">
        <is>
          <t xml:space="preserve">red</t>
        </is>
      </c>
      <c r="AB4" s="4"/>
      <c r="AC4" s="4"/>
      <c r="AD4" s="4"/>
      <c r="AE4" s="4"/>
      <c r="AF4" s="4"/>
      <c r="AG4" s="4" t="inlineStr">
        <is>
          <t xml:space="preserve">permanent</t>
        </is>
      </c>
      <c r="AH4" s="3">
        <v>43983</v>
      </c>
      <c r="AI4" s="4"/>
      <c r="AJ4" s="4"/>
    </row>
    <row r="5">
      <c r="A5" s="4" t="inlineStr">
        <is>
          <t xml:space="preserve">XX-003</t>
        </is>
      </c>
      <c r="B5" s="4" t="inlineStr">
        <is>
          <t xml:space="preserve">Lateral</t>
        </is>
      </c>
      <c r="C5" s="4" t="inlineStr">
        <is>
          <t xml:space="preserve">starboard</t>
        </is>
      </c>
      <c r="D5" s="4" t="inlineStr">
        <is>
          <t xml:space="preserve">buoy</t>
        </is>
      </c>
      <c r="E5" s="4" t="inlineStr">
        <is>
          <t xml:space="preserve">Charlie Shoal</t>
        </is>
      </c>
      <c r="F5" s="4">
        <v>15</v>
      </c>
      <c r="G5" s="4">
        <v>32</v>
      </c>
      <c r="H5" s="4"/>
      <c r="I5" s="4" t="inlineStr">
        <is>
          <t xml:space="preserve">N</t>
        </is>
      </c>
      <c r="J5" s="4">
        <v>88</v>
      </c>
      <c r="K5" s="4">
        <v>14</v>
      </c>
      <c r="L5" s="4"/>
      <c r="M5" s="4" t="inlineStr">
        <is>
          <t xml:space="preserve">E</t>
        </is>
      </c>
      <c r="N5" s="4" t="inlineStr">
        <is>
          <t xml:space="preserve">green</t>
        </is>
      </c>
      <c r="O5" s="4"/>
      <c r="P5" s="4"/>
      <c r="Q5" s="4"/>
      <c r="R5" s="4" t="inlineStr">
        <is>
          <t xml:space="preserve">conical</t>
        </is>
      </c>
      <c r="S5" s="4"/>
      <c r="T5" s="4" t="inlineStr">
        <is>
          <t xml:space="preserve">Fl</t>
        </is>
      </c>
      <c r="U5" s="4" t="inlineStr">
        <is>
          <t xml:space="preserve">G</t>
        </is>
      </c>
      <c r="V5" s="4">
        <v>4</v>
      </c>
      <c r="W5" s="4">
        <v>5</v>
      </c>
      <c r="X5" s="4"/>
      <c r="Y5" s="4"/>
      <c r="Z5" s="4" t="inlineStr">
        <is>
          <t xml:space="preserve">cone (point up)</t>
        </is>
      </c>
      <c r="AA5" s="4" t="inlineStr">
        <is>
          <t xml:space="preserve">green</t>
        </is>
      </c>
      <c r="AB5" s="4"/>
      <c r="AC5" s="4"/>
      <c r="AD5" s="4"/>
      <c r="AE5" s="4"/>
      <c r="AF5" s="4"/>
      <c r="AG5" s="4" t="inlineStr">
        <is>
          <t xml:space="preserve">permanent</t>
        </is>
      </c>
      <c r="AH5" s="3">
        <v>43983</v>
      </c>
      <c r="AI5" s="4"/>
      <c r="AJ5" s="4" t="inlineStr">
        <is>
          <t xml:space="preserve">Marks the shoal</t>
        </is>
      </c>
    </row>
    <row r="6">
      <c r="A6" s="4" t="inlineStr">
        <is>
          <t xml:space="preserve">XX-004</t>
        </is>
      </c>
      <c r="B6" s="4" t="inlineStr">
        <is>
          <t xml:space="preserve">Cardinal</t>
        </is>
      </c>
      <c r="C6" s="4" t="inlineStr">
        <is>
          <t xml:space="preserve">N</t>
        </is>
      </c>
      <c r="D6" s="4" t="inlineStr">
        <is>
          <t xml:space="preserve">buoy</t>
        </is>
      </c>
      <c r="E6" s="4" t="inlineStr">
        <is>
          <t xml:space="preserve">Delta North</t>
        </is>
      </c>
      <c r="F6" s="4">
        <v>15</v>
      </c>
      <c r="G6" s="4">
        <v>33</v>
      </c>
      <c r="H6" s="4"/>
      <c r="I6" s="4" t="inlineStr">
        <is>
          <t xml:space="preserve">N</t>
        </is>
      </c>
      <c r="J6" s="4">
        <v>88</v>
      </c>
      <c r="K6" s="4">
        <v>15</v>
      </c>
      <c r="L6" s="4"/>
      <c r="M6" s="4" t="inlineStr">
        <is>
          <t xml:space="preserve">E</t>
        </is>
      </c>
      <c r="N6" s="4" t="inlineStr">
        <is>
          <t xml:space="preserve">black</t>
        </is>
      </c>
      <c r="O6" s="4" t="inlineStr">
        <is>
          <t xml:space="preserve">yellow</t>
        </is>
      </c>
      <c r="P6" s="4"/>
      <c r="Q6" s="4" t="inlineStr">
        <is>
          <t xml:space="preserve">horizontal stripes</t>
        </is>
      </c>
      <c r="R6" s="4" t="inlineStr">
        <is>
          <t xml:space="preserve">pillar</t>
        </is>
      </c>
      <c r="S6" s="4"/>
      <c r="T6" s="4" t="inlineStr">
        <is>
          <t xml:space="preserve">VQ</t>
        </is>
      </c>
      <c r="U6" s="4" t="inlineStr">
        <is>
          <t xml:space="preserve">W</t>
        </is>
      </c>
      <c r="V6" s="4"/>
      <c r="W6" s="4">
        <v>6</v>
      </c>
      <c r="X6" s="4"/>
      <c r="Y6" s="4"/>
      <c r="Z6" s="4" t="inlineStr">
        <is>
          <t xml:space="preserve">2 cones (points upward)</t>
        </is>
      </c>
      <c r="AA6" s="4" t="inlineStr">
        <is>
          <t xml:space="preserve">black</t>
        </is>
      </c>
      <c r="AB6" s="4"/>
      <c r="AC6" s="4"/>
      <c r="AD6" s="4"/>
      <c r="AE6" s="4"/>
      <c r="AF6" s="4"/>
      <c r="AG6" s="4" t="inlineStr">
        <is>
          <t xml:space="preserve">permanent</t>
        </is>
      </c>
      <c r="AH6" s="3">
        <v>43424</v>
      </c>
      <c r="AI6" s="4"/>
      <c r="AJ6" s="4"/>
    </row>
    <row r="7">
      <c r="A7" s="4" t="inlineStr">
        <is>
          <t xml:space="preserve">XX-005</t>
        </is>
      </c>
      <c r="B7" s="4" t="inlineStr">
        <is>
          <t xml:space="preserve">Lighthouse</t>
        </is>
      </c>
      <c r="C7" s="4"/>
      <c r="D7" s="4"/>
      <c r="E7" s="4" t="inlineStr">
        <is>
          <t xml:space="preserve">Echo Tower</t>
        </is>
      </c>
      <c r="F7" s="4">
        <v>15</v>
      </c>
      <c r="G7" s="4">
        <v>35</v>
      </c>
      <c r="H7" s="4"/>
      <c r="I7" s="4" t="inlineStr">
        <is>
          <t xml:space="preserve">N</t>
        </is>
      </c>
      <c r="J7" s="4">
        <v>88</v>
      </c>
      <c r="K7" s="4">
        <v>17</v>
      </c>
      <c r="L7" s="4"/>
      <c r="M7" s="4" t="inlineStr">
        <is>
          <t xml:space="preserve">E</t>
        </is>
      </c>
      <c r="N7" s="4" t="inlineStr">
        <is>
          <t xml:space="preserve">white</t>
        </is>
      </c>
      <c r="O7" s="4"/>
      <c r="P7" s="4"/>
      <c r="Q7" s="4"/>
      <c r="R7" s="4"/>
      <c r="S7" s="4"/>
      <c r="T7" s="4" t="inlineStr">
        <is>
          <t xml:space="preserve">Fl(2)</t>
        </is>
      </c>
      <c r="U7" s="4" t="inlineStr">
        <is>
          <t xml:space="preserve">W</t>
        </is>
      </c>
      <c r="V7" s="4">
        <v>10</v>
      </c>
      <c r="W7" s="4">
        <v>15</v>
      </c>
      <c r="X7" s="4">
        <v>14</v>
      </c>
      <c r="Y7" s="4">
        <v>18</v>
      </c>
      <c r="Z7" s="4"/>
      <c r="AA7" s="4"/>
      <c r="AB7" s="4" t="inlineStr">
        <is>
          <t xml:space="preserve">horn</t>
        </is>
      </c>
      <c r="AC7" s="4">
        <v>30</v>
      </c>
      <c r="AD7" s="4"/>
      <c r="AE7" s="4"/>
      <c r="AF7" s="4" t="inlineStr">
        <is>
          <t xml:space="preserve">K</t>
        </is>
      </c>
      <c r="AG7" s="4" t="inlineStr">
        <is>
          <t xml:space="preserve">permanent</t>
        </is>
      </c>
      <c r="AH7" s="3">
        <v>9253</v>
      </c>
      <c r="AI7" s="4" t="inlineStr">
        <is>
          <t xml:space="preserve">yes</t>
        </is>
      </c>
      <c r="AJ7" s="4" t="inlineStr">
        <is>
          <t xml:space="preserve">Racon K</t>
        </is>
      </c>
    </row>
    <row r="8">
      <c r="A8" s="4" t="inlineStr">
        <is>
          <t xml:space="preserve">XX-006</t>
        </is>
      </c>
      <c r="B8" s="4" t="inlineStr">
        <is>
          <t xml:space="preserve">Special</t>
        </is>
      </c>
      <c r="C8" s="4"/>
      <c r="D8" s="4" t="inlineStr">
        <is>
          <t xml:space="preserve">buoy</t>
        </is>
      </c>
      <c r="E8" s="4" t="inlineStr">
        <is>
          <t xml:space="preserve">Foxtrot Works</t>
        </is>
      </c>
      <c r="F8" s="4">
        <v>15</v>
      </c>
      <c r="G8" s="4">
        <v>36</v>
      </c>
      <c r="H8" s="4"/>
      <c r="I8" s="4" t="inlineStr">
        <is>
          <t xml:space="preserve">N</t>
        </is>
      </c>
      <c r="J8" s="4">
        <v>88</v>
      </c>
      <c r="K8" s="4">
        <v>18</v>
      </c>
      <c r="L8" s="4"/>
      <c r="M8" s="4" t="inlineStr">
        <is>
          <t xml:space="preserve">E</t>
        </is>
      </c>
      <c r="N8" s="4" t="inlineStr">
        <is>
          <t xml:space="preserve">yellow</t>
        </is>
      </c>
      <c r="O8" s="4"/>
      <c r="P8" s="4"/>
      <c r="Q8" s="4"/>
      <c r="R8" s="4" t="inlineStr">
        <is>
          <t xml:space="preserve">spar</t>
        </is>
      </c>
      <c r="S8" s="4" t="inlineStr">
        <is>
          <t xml:space="preserve">spoil ground mark</t>
        </is>
      </c>
      <c r="T8" s="4" t="inlineStr">
        <is>
          <t xml:space="preserve">Fl</t>
        </is>
      </c>
      <c r="U8" s="4" t="inlineStr">
        <is>
          <t xml:space="preserve">Y</t>
        </is>
      </c>
      <c r="V8" s="4">
        <v>5</v>
      </c>
      <c r="W8" s="4">
        <v>4</v>
      </c>
      <c r="X8" s="4"/>
      <c r="Y8" s="4"/>
      <c r="Z8" s="4" t="inlineStr">
        <is>
          <t xml:space="preserve">x-shaped</t>
        </is>
      </c>
      <c r="AA8" s="4" t="inlineStr">
        <is>
          <t xml:space="preserve">yellow</t>
        </is>
      </c>
      <c r="AB8" s="4"/>
      <c r="AC8" s="4"/>
      <c r="AD8" s="4">
        <v>992001234</v>
      </c>
      <c r="AE8" s="4">
        <v>1</v>
      </c>
      <c r="AF8" s="4"/>
      <c r="AG8" s="4" t="inlineStr">
        <is>
          <t xml:space="preserve">permanent</t>
        </is>
      </c>
      <c r="AH8" s="3">
        <v>44206</v>
      </c>
      <c r="AI8" s="4"/>
      <c r="AJ8" s="4" t="inlineStr">
        <is>
          <t xml:space="preserve">Spoil ground</t>
        </is>
      </c>
    </row>
    <row r="9">
      <c r="A9" s="4" t="inlineStr">
        <is>
          <t xml:space="preserve">XX-007</t>
        </is>
      </c>
      <c r="B9" s="4" t="inlineStr">
        <is>
          <t xml:space="preserve">Lateral</t>
        </is>
      </c>
      <c r="C9" s="4" t="inlineStr">
        <is>
          <t xml:space="preserve">starboard</t>
        </is>
      </c>
      <c r="D9" s="4" t="inlineStr">
        <is>
          <t xml:space="preserve">beacon</t>
        </is>
      </c>
      <c r="E9" s="4" t="inlineStr">
        <is>
          <t xml:space="preserve">Golf Pile</t>
        </is>
      </c>
      <c r="F9" s="4">
        <v>15</v>
      </c>
      <c r="G9" s="4">
        <v>37</v>
      </c>
      <c r="H9" s="4"/>
      <c r="I9" s="4" t="inlineStr">
        <is>
          <t xml:space="preserve">N</t>
        </is>
      </c>
      <c r="J9" s="4">
        <v>88</v>
      </c>
      <c r="K9" s="4">
        <v>19</v>
      </c>
      <c r="L9" s="4"/>
      <c r="M9" s="4" t="inlineStr">
        <is>
          <t xml:space="preserve">E</t>
        </is>
      </c>
      <c r="N9" s="4" t="inlineStr">
        <is>
          <t xml:space="preserve">green</t>
        </is>
      </c>
      <c r="O9" s="4"/>
      <c r="P9" s="4"/>
      <c r="Q9" s="4"/>
      <c r="R9" s="4" t="inlineStr">
        <is>
          <t xml:space="preserve">pile</t>
        </is>
      </c>
      <c r="S9" s="4"/>
      <c r="T9" s="4" t="inlineStr">
        <is>
          <t xml:space="preserve">Fl</t>
        </is>
      </c>
      <c r="U9" s="4" t="inlineStr">
        <is>
          <t xml:space="preserve">G</t>
        </is>
      </c>
      <c r="V9" s="4">
        <v>3</v>
      </c>
      <c r="W9" s="4">
        <v>4</v>
      </c>
      <c r="X9" s="4"/>
      <c r="Y9" s="4">
        <v>8</v>
      </c>
      <c r="Z9" s="4" t="inlineStr">
        <is>
          <t xml:space="preserve">cone (point up)</t>
        </is>
      </c>
      <c r="AA9" s="4" t="inlineStr">
        <is>
          <t xml:space="preserve">green</t>
        </is>
      </c>
      <c r="AB9" s="4"/>
      <c r="AC9" s="4"/>
      <c r="AD9" s="4"/>
      <c r="AE9" s="4"/>
      <c r="AF9" s="4"/>
      <c r="AG9" s="4" t="inlineStr">
        <is>
          <t xml:space="preserve">permanent</t>
        </is>
      </c>
      <c r="AH9" s="3">
        <v>43800</v>
      </c>
      <c r="AI9" s="4"/>
      <c r="AJ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"/>
      <c r="AI10" s="4"/>
      <c r="AJ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3"/>
      <c r="AI11" s="4"/>
      <c r="AJ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3"/>
      <c r="AI12" s="4"/>
      <c r="AJ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3"/>
      <c r="AI13" s="4"/>
      <c r="AJ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3"/>
      <c r="AI14" s="4"/>
      <c r="AJ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3"/>
      <c r="AI15" s="4"/>
      <c r="AJ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3"/>
      <c r="AI16" s="4"/>
      <c r="AJ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3"/>
      <c r="AI17" s="4"/>
      <c r="AJ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3"/>
      <c r="AI18" s="4"/>
      <c r="AJ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3"/>
      <c r="AI19" s="4"/>
      <c r="AJ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3"/>
      <c r="AI20" s="4"/>
      <c r="AJ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3"/>
      <c r="AI21" s="4"/>
      <c r="AJ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3"/>
      <c r="AI22" s="4"/>
      <c r="AJ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3"/>
      <c r="AI23" s="4"/>
      <c r="AJ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3"/>
      <c r="AI24" s="4"/>
      <c r="AJ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3"/>
      <c r="AI25" s="4"/>
      <c r="AJ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3"/>
      <c r="AI26" s="4"/>
      <c r="AJ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3"/>
      <c r="AI27" s="4"/>
      <c r="AJ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3"/>
      <c r="AI28" s="4"/>
      <c r="AJ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3"/>
      <c r="AI29" s="4"/>
      <c r="AJ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3"/>
      <c r="AI30" s="4"/>
      <c r="A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3"/>
      <c r="AI31" s="4"/>
      <c r="A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3"/>
      <c r="AI32" s="4"/>
      <c r="AJ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3"/>
      <c r="AI33" s="4"/>
      <c r="A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3"/>
      <c r="AI34" s="4"/>
      <c r="A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3"/>
      <c r="AI35" s="4"/>
      <c r="AJ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3"/>
      <c r="AI36" s="4"/>
      <c r="AJ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3"/>
      <c r="AI37" s="4"/>
      <c r="AJ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3"/>
      <c r="AI38" s="4"/>
      <c r="AJ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3"/>
      <c r="AI39" s="4"/>
      <c r="AJ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3"/>
      <c r="AI40" s="4"/>
      <c r="AJ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3"/>
      <c r="AI41" s="4"/>
      <c r="A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3"/>
      <c r="AI42" s="4"/>
      <c r="AJ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3"/>
      <c r="AI43" s="4"/>
      <c r="AJ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3"/>
      <c r="AI44" s="4"/>
      <c r="A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3"/>
      <c r="AI45" s="4"/>
      <c r="A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3"/>
      <c r="AI46" s="4"/>
      <c r="A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3"/>
      <c r="AI47" s="4"/>
      <c r="A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3"/>
      <c r="AI48" s="4"/>
      <c r="A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3"/>
      <c r="AI49" s="4"/>
      <c r="A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3"/>
      <c r="AI50" s="4"/>
      <c r="A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3"/>
      <c r="AI51" s="4"/>
      <c r="A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3"/>
      <c r="AI52" s="4"/>
      <c r="A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3"/>
      <c r="AI53" s="4"/>
      <c r="A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3"/>
      <c r="AI54" s="4"/>
      <c r="A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3"/>
      <c r="AI55" s="4"/>
      <c r="AJ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3"/>
      <c r="AI56" s="4"/>
      <c r="A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3"/>
      <c r="AI57" s="4"/>
      <c r="A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3"/>
      <c r="AI58" s="4"/>
      <c r="A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3"/>
      <c r="AI59" s="4"/>
      <c r="A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3"/>
      <c r="AI60" s="4"/>
      <c r="A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3"/>
      <c r="AI61" s="4"/>
      <c r="A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3"/>
      <c r="AI62" s="4"/>
      <c r="A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3"/>
      <c r="AI63" s="4"/>
      <c r="A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3"/>
      <c r="AI64" s="4"/>
      <c r="A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3"/>
      <c r="AI65" s="4"/>
      <c r="A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3"/>
      <c r="AI66" s="4"/>
      <c r="A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3"/>
      <c r="AI67" s="4"/>
      <c r="A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3"/>
      <c r="AI68" s="4"/>
      <c r="A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3"/>
      <c r="AI69" s="4"/>
      <c r="A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3"/>
      <c r="AI70" s="4"/>
      <c r="A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3"/>
      <c r="AI71" s="4"/>
      <c r="A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3"/>
      <c r="AI72" s="4"/>
      <c r="A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3"/>
      <c r="AI73" s="4"/>
      <c r="A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3"/>
      <c r="AI74" s="4"/>
      <c r="A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3"/>
      <c r="AI75" s="4"/>
      <c r="A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3"/>
      <c r="AI76" s="4"/>
      <c r="A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3"/>
      <c r="AI77" s="4"/>
      <c r="A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3"/>
      <c r="AI78" s="4"/>
      <c r="A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3"/>
      <c r="AI79" s="4"/>
      <c r="A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3"/>
      <c r="AI80" s="4"/>
      <c r="A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3"/>
      <c r="AI81" s="4"/>
      <c r="A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3"/>
      <c r="AI82" s="4"/>
      <c r="A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3"/>
      <c r="AI83" s="4"/>
      <c r="A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3"/>
      <c r="AI84" s="4"/>
      <c r="A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3"/>
      <c r="AI85" s="4"/>
      <c r="A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3"/>
      <c r="AI86" s="4"/>
      <c r="A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3"/>
      <c r="AI87" s="4"/>
      <c r="A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3"/>
      <c r="AI88" s="4"/>
      <c r="A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3"/>
      <c r="AI89" s="4"/>
      <c r="A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3"/>
      <c r="AI90" s="4"/>
      <c r="A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3"/>
      <c r="AI91" s="4"/>
      <c r="A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3"/>
      <c r="AI92" s="4"/>
      <c r="A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3"/>
      <c r="AI93" s="4"/>
      <c r="A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3"/>
      <c r="AI94" s="4"/>
      <c r="A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3"/>
      <c r="AI95" s="4"/>
      <c r="A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3"/>
      <c r="AI96" s="4"/>
      <c r="A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3"/>
      <c r="AI97" s="4"/>
      <c r="A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3"/>
      <c r="AI98" s="4"/>
      <c r="A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3"/>
      <c r="AI99" s="4"/>
      <c r="A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3"/>
      <c r="AI100" s="4"/>
      <c r="A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3"/>
      <c r="AI101" s="4"/>
      <c r="A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3"/>
      <c r="AI102" s="4"/>
      <c r="A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3"/>
      <c r="AI103" s="4"/>
      <c r="A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3"/>
      <c r="AI104" s="4"/>
      <c r="A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3"/>
      <c r="AI105" s="4"/>
      <c r="A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3"/>
      <c r="AI106" s="4"/>
      <c r="A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3"/>
      <c r="AI107" s="4"/>
      <c r="A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3"/>
      <c r="AI108" s="4"/>
      <c r="A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3"/>
      <c r="AI109" s="4"/>
      <c r="A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3"/>
      <c r="AI110" s="4"/>
      <c r="A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3"/>
      <c r="AI111" s="4"/>
      <c r="A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3"/>
      <c r="AI112" s="4"/>
      <c r="A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3"/>
      <c r="AI113" s="4"/>
      <c r="A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3"/>
      <c r="AI114" s="4"/>
      <c r="A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3"/>
      <c r="AI115" s="4"/>
      <c r="A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3"/>
      <c r="AI116" s="4"/>
      <c r="A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3"/>
      <c r="AI117" s="4"/>
      <c r="A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3"/>
      <c r="AI118" s="4"/>
      <c r="A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3"/>
      <c r="AI119" s="4"/>
      <c r="A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3"/>
      <c r="AI120" s="4"/>
      <c r="A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3"/>
      <c r="AI121" s="4"/>
      <c r="A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3"/>
      <c r="AI122" s="4"/>
      <c r="A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3"/>
      <c r="AI123" s="4"/>
      <c r="A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3"/>
      <c r="AI124" s="4"/>
      <c r="A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3"/>
      <c r="AI125" s="4"/>
      <c r="A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3"/>
      <c r="AI126" s="4"/>
      <c r="A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3"/>
      <c r="AI127" s="4"/>
      <c r="A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3"/>
      <c r="AI128" s="4"/>
      <c r="A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3"/>
      <c r="AI129" s="4"/>
      <c r="A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3"/>
      <c r="AI130" s="4"/>
      <c r="A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3"/>
      <c r="AI131" s="4"/>
      <c r="A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3"/>
      <c r="AI132" s="4"/>
      <c r="A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3"/>
      <c r="AI133" s="4"/>
      <c r="A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3"/>
      <c r="AI134" s="4"/>
      <c r="A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3"/>
      <c r="AI135" s="4"/>
      <c r="A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3"/>
      <c r="AI136" s="4"/>
      <c r="A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3"/>
      <c r="AI137" s="4"/>
      <c r="A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3"/>
      <c r="AI138" s="4"/>
      <c r="A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3"/>
      <c r="AI139" s="4"/>
      <c r="A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3"/>
      <c r="AI140" s="4"/>
      <c r="A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3"/>
      <c r="AI141" s="4"/>
      <c r="A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3"/>
      <c r="AI142" s="4"/>
      <c r="A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3"/>
      <c r="AI143" s="4"/>
      <c r="A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3"/>
      <c r="AI144" s="4"/>
      <c r="A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3"/>
      <c r="AI145" s="4"/>
      <c r="A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3"/>
      <c r="AI146" s="4"/>
      <c r="A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3"/>
      <c r="AI147" s="4"/>
      <c r="A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3"/>
      <c r="AI148" s="4"/>
      <c r="A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3"/>
      <c r="AI149" s="4"/>
      <c r="A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3"/>
      <c r="AI150" s="4"/>
      <c r="A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3"/>
      <c r="AI151" s="4"/>
      <c r="A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3"/>
      <c r="AI152" s="4"/>
      <c r="A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3"/>
      <c r="AI153" s="4"/>
      <c r="A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3"/>
      <c r="AI154" s="4"/>
      <c r="A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3"/>
      <c r="AI155" s="4"/>
      <c r="A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3"/>
      <c r="AI156" s="4"/>
      <c r="A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3"/>
      <c r="AI157" s="4"/>
      <c r="A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3"/>
      <c r="AI158" s="4"/>
      <c r="A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3"/>
      <c r="AI159" s="4"/>
      <c r="A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3"/>
      <c r="AI160" s="4"/>
      <c r="A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3"/>
      <c r="AI161" s="4"/>
      <c r="A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3"/>
      <c r="AI162" s="4"/>
      <c r="A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3"/>
      <c r="AI163" s="4"/>
      <c r="A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3"/>
      <c r="AI164" s="4"/>
      <c r="A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3"/>
      <c r="AI165" s="4"/>
      <c r="A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3"/>
      <c r="AI166" s="4"/>
      <c r="A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3"/>
      <c r="AI167" s="4"/>
      <c r="A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3"/>
      <c r="AI168" s="4"/>
      <c r="A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3"/>
      <c r="AI169" s="4"/>
      <c r="A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3"/>
      <c r="AI170" s="4"/>
      <c r="A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3"/>
      <c r="AI171" s="4"/>
      <c r="A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3"/>
      <c r="AI172" s="4"/>
      <c r="A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3"/>
      <c r="AI173" s="4"/>
      <c r="A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3"/>
      <c r="AI174" s="4"/>
      <c r="A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3"/>
      <c r="AI175" s="4"/>
      <c r="A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3"/>
      <c r="AI176" s="4"/>
      <c r="A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3"/>
      <c r="AI177" s="4"/>
      <c r="A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3"/>
      <c r="AI178" s="4"/>
      <c r="A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3"/>
      <c r="AI179" s="4"/>
      <c r="A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3"/>
      <c r="AI180" s="4"/>
      <c r="A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3"/>
      <c r="AI181" s="4"/>
      <c r="A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3"/>
      <c r="AI182" s="4"/>
      <c r="A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3"/>
      <c r="AI183" s="4"/>
      <c r="A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3"/>
      <c r="AI184" s="4"/>
      <c r="A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3"/>
      <c r="AI185" s="4"/>
      <c r="A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3"/>
      <c r="AI186" s="4"/>
      <c r="A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3"/>
      <c r="AI187" s="4"/>
      <c r="A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3"/>
      <c r="AI188" s="4"/>
      <c r="A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3"/>
      <c r="AI189" s="4"/>
      <c r="A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3"/>
      <c r="AI190" s="4"/>
      <c r="A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3"/>
      <c r="AI191" s="4"/>
      <c r="A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3"/>
      <c r="AI192" s="4"/>
      <c r="A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3"/>
      <c r="AI193" s="4"/>
      <c r="A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3"/>
      <c r="AI194" s="4"/>
      <c r="A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3"/>
      <c r="AI195" s="4"/>
      <c r="A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3"/>
      <c r="AI196" s="4"/>
      <c r="A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3"/>
      <c r="AI197" s="4"/>
      <c r="A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3"/>
      <c r="AI198" s="4"/>
      <c r="A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3"/>
      <c r="AI199" s="4"/>
      <c r="A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3"/>
      <c r="AI200" s="4"/>
      <c r="A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3"/>
      <c r="AI201" s="4"/>
      <c r="A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3"/>
      <c r="AI202" s="4"/>
      <c r="AJ202" s="4"/>
    </row>
  </sheetData>
  <dataValidations count="19">
    <dataValidation type="list" allowBlank="1" showInputMessage="1" showErrorMessage="1" errorStyle="warning" errorTitle="Not in the list" error="This value is not in the Reference list — the converter may not read it. Keep it anyway?" sqref="B3:B202">
      <formula1>Reference!$A$3:$A$13</formula1>
    </dataValidation>
    <dataValidation type="list" allowBlank="1" showInputMessage="1" showErrorMessage="1" errorStyle="warning" errorTitle="Not in the list" error="This value is not in the Reference list — the converter may not read it. Keep it anyway?" sqref="C3:C202">
      <formula1>Reference!$B$3:$B$10</formula1>
    </dataValidation>
    <dataValidation type="list" allowBlank="1" showInputMessage="1" showErrorMessage="1" errorStyle="warning" errorTitle="Not in the list" error="This value is not in the Reference list — the converter may not read it. Keep it anyway?" sqref="D3:D202">
      <formula1>Reference!$C$3:$C$4</formula1>
    </dataValidation>
    <dataValidation type="list" allowBlank="1" showInputMessage="1" showErrorMessage="1" errorStyle="warning" errorTitle="Not in the list" error="This value is not in the Reference list — the converter may not read it. Keep it anyway?" sqref="I3:I202">
      <formula1>Reference!$O$3:$O$4</formula1>
    </dataValidation>
    <dataValidation type="list" allowBlank="1" showInputMessage="1" showErrorMessage="1" errorStyle="warning" errorTitle="Not in the list" error="This value is not in the Reference list — the converter may not read it. Keep it anyway?" sqref="M3:M202">
      <formula1>Reference!$P$3:$P$4</formula1>
    </dataValidation>
    <dataValidation type="list" allowBlank="1" showInputMessage="1" showErrorMessage="1" errorStyle="warning" errorTitle="Not in the list" error="This value is not in the Reference list — the converter may not read it. Keep it anyway?" sqref="N3:N202">
      <formula1>Reference!$D$3:$D$15</formula1>
    </dataValidation>
    <dataValidation type="list" allowBlank="1" showInputMessage="1" showErrorMessage="1" errorStyle="warning" errorTitle="Not in the list" error="This value is not in the Reference list — the converter may not read it. Keep it anyway?" sqref="O3:O202">
      <formula1>Reference!$D$3:$D$15</formula1>
    </dataValidation>
    <dataValidation type="list" allowBlank="1" showInputMessage="1" showErrorMessage="1" errorStyle="warning" errorTitle="Not in the list" error="This value is not in the Reference list — the converter may not read it. Keep it anyway?" sqref="P3:P202">
      <formula1>Reference!$D$3:$D$15</formula1>
    </dataValidation>
    <dataValidation type="list" allowBlank="1" showInputMessage="1" showErrorMessage="1" errorStyle="warning" errorTitle="Not in the list" error="This value is not in the Reference list — the converter may not read it. Keep it anyway?" sqref="Q3:Q202">
      <formula1>Reference!$E$3:$E$11</formula1>
    </dataValidation>
    <dataValidation type="list" allowBlank="1" showInputMessage="1" showErrorMessage="1" errorStyle="warning" errorTitle="Not in the list" error="This value is not in the Reference list — the converter may not read it. Keep it anyway?" sqref="R3:R202">
      <formula1>Reference!$F$3:$F$17</formula1>
    </dataValidation>
    <dataValidation type="list" allowBlank="1" showInputMessage="1" showErrorMessage="1" errorStyle="warning" errorTitle="Not in the list" error="This value is not in the Reference list — the converter may not read it. Keep it anyway?" sqref="S3:S202">
      <formula1>Reference!$G$3:$G$68</formula1>
    </dataValidation>
    <dataValidation type="list" allowBlank="1" showInputMessage="1" showErrorMessage="1" errorStyle="warning" errorTitle="Not in the list" error="This value is not in the Reference list — the converter may not read it. Keep it anyway?" sqref="T3:T202">
      <formula1>Reference!$H$3:$H$45</formula1>
    </dataValidation>
    <dataValidation type="list" allowBlank="1" showInputMessage="1" showErrorMessage="1" errorStyle="warning" errorTitle="Not in the list" error="This value is not in the Reference list — the converter may not read it. Keep it anyway?" sqref="U3:U202">
      <formula1>Reference!$I$3:$I$10</formula1>
    </dataValidation>
    <dataValidation type="list" allowBlank="1" showInputMessage="1" showErrorMessage="1" errorStyle="warning" errorTitle="Not in the list" error="This value is not in the Reference list — the converter may not read it. Keep it anyway?" sqref="Z3:Z202">
      <formula1>Reference!$J$3:$J$36</formula1>
    </dataValidation>
    <dataValidation type="list" allowBlank="1" showInputMessage="1" showErrorMessage="1" errorStyle="warning" errorTitle="Not in the list" error="This value is not in the Reference list — the converter may not read it. Keep it anyway?" sqref="AA3:AA202">
      <formula1>Reference!$D$3:$D$15</formula1>
    </dataValidation>
    <dataValidation type="list" allowBlank="1" showInputMessage="1" showErrorMessage="1" errorStyle="warning" errorTitle="Not in the list" error="This value is not in the Reference list — the converter may not read it. Keep it anyway?" sqref="AB3:AB202">
      <formula1>Reference!$K$3:$K$12</formula1>
    </dataValidation>
    <dataValidation type="list" allowBlank="1" showInputMessage="1" showErrorMessage="1" errorStyle="warning" errorTitle="Not in the list" error="This value is not in the Reference list — the converter may not read it. Keep it anyway?" sqref="AE3:AE202">
      <formula1>Reference!$L$3:$L$5</formula1>
    </dataValidation>
    <dataValidation type="list" allowBlank="1" showInputMessage="1" showErrorMessage="1" errorStyle="warning" errorTitle="Not in the list" error="This value is not in the Reference list — the converter may not read it. Keep it anyway?" sqref="AG3:AG202">
      <formula1>Reference!$M$3:$M$44</formula1>
    </dataValidation>
    <dataValidation type="list" allowBlank="1" showInputMessage="1" showErrorMessage="1" errorStyle="warning" errorTitle="Not in the list" error="This value is not in the Reference list — the converter may not read it. Keep it anyway?" sqref="AI3:AI202">
      <formula1>Reference!$N$3:$N$4</formula1>
    </dataValidation>
  </dataValidations>
  <pageMargins left="0.5" right="0.5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  <selection pane="bottomLeft" activeCell="A3" sqref="A3"/>
    </sheetView>
  </sheetViews>
  <sheetFormatPr defaultRowHeight="13"/>
  <cols>
    <col min="1" max="1" width="17" customWidth="1"/>
    <col min="2" max="2" width="32" customWidth="1"/>
    <col min="3" max="3" width="12" customWidth="1"/>
    <col min="4" max="4" width="12" customWidth="1"/>
    <col min="5" max="5" width="29" customWidth="1"/>
    <col min="6" max="6" width="16" customWidth="1"/>
    <col min="7" max="7" width="34" customWidth="1"/>
    <col min="8" max="8" width="14" customWidth="1"/>
    <col min="9" max="9" width="14" customWidth="1"/>
    <col min="10" max="10" width="34" customWidth="1"/>
    <col min="11" max="11" width="12" customWidth="1"/>
    <col min="12" max="12" width="12" customWidth="1"/>
    <col min="13" max="13" width="28" customWidth="1"/>
    <col min="14" max="14" width="12" customWidth="1"/>
    <col min="15" max="15" width="12" customWidth="1"/>
    <col min="16" max="16" width="12" customWidth="1"/>
  </cols>
  <sheetData>
    <row r="1">
      <c r="A1" s="5" t="inlineStr">
        <is>
          <t xml:space="preserve">Accepted words — the drop-downs on the Source sheet read these columns (generated from the app's own value lists; a word outside them may be reported as not understood).</t>
        </is>
      </c>
    </row>
    <row r="2">
      <c r="A2" s="1" t="inlineStr">
        <is>
          <t xml:space="preserve">Type</t>
        </is>
      </c>
      <c r="B2" s="1" t="inlineStr">
        <is>
          <t xml:space="preserve">Side / direction</t>
        </is>
      </c>
      <c r="C2" s="1" t="inlineStr">
        <is>
          <t xml:space="preserve">Structure</t>
        </is>
      </c>
      <c r="D2" s="1" t="inlineStr">
        <is>
          <t xml:space="preserve">Colour</t>
        </is>
      </c>
      <c r="E2" s="1" t="inlineStr">
        <is>
          <t xml:space="preserve">Colour pattern</t>
        </is>
      </c>
      <c r="F2" s="1" t="inlineStr">
        <is>
          <t xml:space="preserve">Shape</t>
        </is>
      </c>
      <c r="G2" s="1" t="inlineStr">
        <is>
          <t xml:space="preserve">Special-purpose category</t>
        </is>
      </c>
      <c r="H2" s="1" t="inlineStr">
        <is>
          <t xml:space="preserve">Light rhythm</t>
        </is>
      </c>
      <c r="I2" s="1" t="inlineStr">
        <is>
          <t xml:space="preserve">Light colour</t>
        </is>
      </c>
      <c r="J2" s="1" t="inlineStr">
        <is>
          <t xml:space="preserve">Topmark</t>
        </is>
      </c>
      <c r="K2" s="1" t="inlineStr">
        <is>
          <t xml:space="preserve">Fog signal</t>
        </is>
      </c>
      <c r="L2" s="1" t="inlineStr">
        <is>
          <t xml:space="preserve">AIS type</t>
        </is>
      </c>
      <c r="M2" s="1" t="inlineStr">
        <is>
          <t xml:space="preserve">Status</t>
        </is>
      </c>
      <c r="N2" s="1" t="inlineStr">
        <is>
          <t xml:space="preserve">Yes / no</t>
        </is>
      </c>
      <c r="O2" s="1" t="inlineStr">
        <is>
          <t xml:space="preserve">N / S</t>
        </is>
      </c>
      <c r="P2" s="1" t="inlineStr">
        <is>
          <t xml:space="preserve">E / W</t>
        </is>
      </c>
    </row>
    <row r="3">
      <c r="A3" t="inlineStr">
        <is>
          <t xml:space="preserve">Lateral</t>
        </is>
      </c>
      <c r="B3" t="inlineStr">
        <is>
          <t xml:space="preserve">port</t>
        </is>
      </c>
      <c r="C3" t="inlineStr">
        <is>
          <t xml:space="preserve">buoy</t>
        </is>
      </c>
      <c r="D3" t="inlineStr">
        <is>
          <t xml:space="preserve">white</t>
        </is>
      </c>
      <c r="E3" t="inlineStr">
        <is>
          <t xml:space="preserve">horizontal stripes</t>
        </is>
      </c>
      <c r="F3" t="inlineStr">
        <is>
          <t xml:space="preserve">conical</t>
        </is>
      </c>
      <c r="G3" t="inlineStr">
        <is>
          <t xml:space="preserve">firing danger mark</t>
        </is>
      </c>
      <c r="H3" t="inlineStr">
        <is>
          <t xml:space="preserve">F</t>
        </is>
      </c>
      <c r="I3" t="inlineStr">
        <is>
          <t xml:space="preserve">W</t>
        </is>
      </c>
      <c r="J3" t="inlineStr">
        <is>
          <t xml:space="preserve">cone (point up)</t>
        </is>
      </c>
      <c r="K3" t="inlineStr">
        <is>
          <t xml:space="preserve">explosive</t>
        </is>
      </c>
      <c r="L3">
        <v>1</v>
      </c>
      <c r="M3" t="inlineStr">
        <is>
          <t xml:space="preserve">permanent</t>
        </is>
      </c>
      <c r="N3" t="inlineStr">
        <is>
          <t xml:space="preserve">yes</t>
        </is>
      </c>
      <c r="O3" t="inlineStr">
        <is>
          <t xml:space="preserve">N</t>
        </is>
      </c>
      <c r="P3" t="inlineStr">
        <is>
          <t xml:space="preserve">E</t>
        </is>
      </c>
    </row>
    <row r="4">
      <c r="A4" t="inlineStr">
        <is>
          <t xml:space="preserve">Cardinal</t>
        </is>
      </c>
      <c r="B4" t="inlineStr">
        <is>
          <t xml:space="preserve">starboard</t>
        </is>
      </c>
      <c r="C4" t="inlineStr">
        <is>
          <t xml:space="preserve">beacon</t>
        </is>
      </c>
      <c r="D4" t="inlineStr">
        <is>
          <t xml:space="preserve">black</t>
        </is>
      </c>
      <c r="E4" t="inlineStr">
        <is>
          <t xml:space="preserve">vertical stripes</t>
        </is>
      </c>
      <c r="F4" t="inlineStr">
        <is>
          <t xml:space="preserve">can</t>
        </is>
      </c>
      <c r="G4" t="inlineStr">
        <is>
          <t xml:space="preserve">target mark</t>
        </is>
      </c>
      <c r="H4" t="inlineStr">
        <is>
          <t xml:space="preserve">Fl</t>
        </is>
      </c>
      <c r="I4" t="inlineStr">
        <is>
          <t xml:space="preserve">R</t>
        </is>
      </c>
      <c r="J4" t="inlineStr">
        <is>
          <t xml:space="preserve">cone (point down)</t>
        </is>
      </c>
      <c r="K4" t="inlineStr">
        <is>
          <t xml:space="preserve">diaphone</t>
        </is>
      </c>
      <c r="L4">
        <v>2</v>
      </c>
      <c r="M4" t="inlineStr">
        <is>
          <t xml:space="preserve">occasional</t>
        </is>
      </c>
      <c r="N4" t="inlineStr">
        <is>
          <t xml:space="preserve">no</t>
        </is>
      </c>
      <c r="O4" t="inlineStr">
        <is>
          <t xml:space="preserve">S</t>
        </is>
      </c>
      <c r="P4" t="inlineStr">
        <is>
          <t xml:space="preserve">W</t>
        </is>
      </c>
    </row>
    <row r="5">
      <c r="A5" t="inlineStr">
        <is>
          <t xml:space="preserve">Safe water</t>
        </is>
      </c>
      <c r="B5" t="inlineStr">
        <is>
          <t xml:space="preserve">preferred channel to port</t>
        </is>
      </c>
      <c r="D5" t="inlineStr">
        <is>
          <t xml:space="preserve">red</t>
        </is>
      </c>
      <c r="E5" t="inlineStr">
        <is>
          <t xml:space="preserve">diagonal stripes</t>
        </is>
      </c>
      <c r="F5" t="inlineStr">
        <is>
          <t xml:space="preserve">spherical</t>
        </is>
      </c>
      <c r="G5" t="inlineStr">
        <is>
          <t xml:space="preserve">marker ship mark</t>
        </is>
      </c>
      <c r="H5" t="inlineStr">
        <is>
          <t xml:space="preserve">Fl(2)</t>
        </is>
      </c>
      <c r="I5" t="inlineStr">
        <is>
          <t xml:space="preserve">G</t>
        </is>
      </c>
      <c r="J5" t="inlineStr">
        <is>
          <t xml:space="preserve">sphere</t>
        </is>
      </c>
      <c r="K5" t="inlineStr">
        <is>
          <t xml:space="preserve">siren</t>
        </is>
      </c>
      <c r="L5">
        <v>3</v>
      </c>
      <c r="M5" t="inlineStr">
        <is>
          <t xml:space="preserve">recommended</t>
        </is>
      </c>
    </row>
    <row r="6">
      <c r="A6" t="inlineStr">
        <is>
          <t xml:space="preserve">Isolated danger</t>
        </is>
      </c>
      <c r="B6" t="inlineStr">
        <is>
          <t xml:space="preserve">preferred channel to starboard</t>
        </is>
      </c>
      <c r="D6" t="inlineStr">
        <is>
          <t xml:space="preserve">green</t>
        </is>
      </c>
      <c r="E6" t="inlineStr">
        <is>
          <t xml:space="preserve">squared</t>
        </is>
      </c>
      <c r="F6" t="inlineStr">
        <is>
          <t xml:space="preserve">pillar</t>
        </is>
      </c>
      <c r="G6" t="inlineStr">
        <is>
          <t xml:space="preserve">degaussing range mark</t>
        </is>
      </c>
      <c r="H6" t="inlineStr">
        <is>
          <t xml:space="preserve">Fl(3)</t>
        </is>
      </c>
      <c r="I6" t="inlineStr">
        <is>
          <t xml:space="preserve">Y</t>
        </is>
      </c>
      <c r="J6" t="inlineStr">
        <is>
          <t xml:space="preserve">2 spheres</t>
        </is>
      </c>
      <c r="K6" t="inlineStr">
        <is>
          <t xml:space="preserve">nautophone</t>
        </is>
      </c>
      <c r="M6" t="inlineStr">
        <is>
          <t xml:space="preserve">not in use</t>
        </is>
      </c>
    </row>
    <row r="7">
      <c r="A7" t="inlineStr">
        <is>
          <t xml:space="preserve">Special</t>
        </is>
      </c>
      <c r="B7" t="inlineStr">
        <is>
          <t xml:space="preserve">N</t>
        </is>
      </c>
      <c r="D7" t="inlineStr">
        <is>
          <t xml:space="preserve">blue</t>
        </is>
      </c>
      <c r="E7" t="inlineStr">
        <is>
          <t xml:space="preserve">stripes (direction unknown)</t>
        </is>
      </c>
      <c r="F7" t="inlineStr">
        <is>
          <t xml:space="preserve">spar</t>
        </is>
      </c>
      <c r="G7" t="inlineStr">
        <is>
          <t xml:space="preserve">barge mark</t>
        </is>
      </c>
      <c r="H7" t="inlineStr">
        <is>
          <t xml:space="preserve">Fl(4)</t>
        </is>
      </c>
      <c r="I7" t="inlineStr">
        <is>
          <t xml:space="preserve">Bu</t>
        </is>
      </c>
      <c r="J7" t="inlineStr">
        <is>
          <t xml:space="preserve">cylinder</t>
        </is>
      </c>
      <c r="K7" t="inlineStr">
        <is>
          <t xml:space="preserve">reed</t>
        </is>
      </c>
      <c r="M7" t="inlineStr">
        <is>
          <t xml:space="preserve">periodic/intermittent</t>
        </is>
      </c>
    </row>
    <row r="8">
      <c r="A8" t="inlineStr">
        <is>
          <t xml:space="preserve">Emergency wreck</t>
        </is>
      </c>
      <c r="B8" t="inlineStr">
        <is>
          <t xml:space="preserve">E</t>
        </is>
      </c>
      <c r="D8" t="inlineStr">
        <is>
          <t xml:space="preserve">yellow</t>
        </is>
      </c>
      <c r="E8" t="inlineStr">
        <is>
          <t xml:space="preserve">border stripe</t>
        </is>
      </c>
      <c r="F8" t="inlineStr">
        <is>
          <t xml:space="preserve">barrel</t>
        </is>
      </c>
      <c r="G8" t="inlineStr">
        <is>
          <t xml:space="preserve">cable mark</t>
        </is>
      </c>
      <c r="H8" t="inlineStr">
        <is>
          <t xml:space="preserve">Fl(5)</t>
        </is>
      </c>
      <c r="I8" t="inlineStr">
        <is>
          <t xml:space="preserve">Vi</t>
        </is>
      </c>
      <c r="J8" t="inlineStr">
        <is>
          <t xml:space="preserve">board</t>
        </is>
      </c>
      <c r="K8" t="inlineStr">
        <is>
          <t xml:space="preserve">tyfon</t>
        </is>
      </c>
      <c r="M8" t="inlineStr">
        <is>
          <t xml:space="preserve">reserved</t>
        </is>
      </c>
    </row>
    <row r="9">
      <c r="A9" t="inlineStr">
        <is>
          <t xml:space="preserve">Lighthouse</t>
        </is>
      </c>
      <c r="B9" t="inlineStr">
        <is>
          <t xml:space="preserve">S</t>
        </is>
      </c>
      <c r="D9" t="inlineStr">
        <is>
          <t xml:space="preserve">grey</t>
        </is>
      </c>
      <c r="E9" t="inlineStr">
        <is>
          <t xml:space="preserve">single colour</t>
        </is>
      </c>
      <c r="F9" t="inlineStr">
        <is>
          <t xml:space="preserve">superbuoy</t>
        </is>
      </c>
      <c r="G9" t="inlineStr">
        <is>
          <t xml:space="preserve">spoil ground mark</t>
        </is>
      </c>
      <c r="H9" t="inlineStr">
        <is>
          <t xml:space="preserve">Fl(6)</t>
        </is>
      </c>
      <c r="I9" t="inlineStr">
        <is>
          <t xml:space="preserve">Or</t>
        </is>
      </c>
      <c r="J9" t="inlineStr">
        <is>
          <t xml:space="preserve">x-shaped</t>
        </is>
      </c>
      <c r="K9" t="inlineStr">
        <is>
          <t xml:space="preserve">bell</t>
        </is>
      </c>
      <c r="M9" t="inlineStr">
        <is>
          <t xml:space="preserve">temporary</t>
        </is>
      </c>
    </row>
    <row r="10">
      <c r="A10" t="inlineStr">
        <is>
          <t xml:space="preserve">Light vessel</t>
        </is>
      </c>
      <c r="B10" t="inlineStr">
        <is>
          <t xml:space="preserve">W</t>
        </is>
      </c>
      <c r="D10" t="inlineStr">
        <is>
          <t xml:space="preserve">brown</t>
        </is>
      </c>
      <c r="E10" t="inlineStr">
        <is>
          <t xml:space="preserve">rectangle</t>
        </is>
      </c>
      <c r="F10" t="inlineStr">
        <is>
          <t xml:space="preserve">ice buoy</t>
        </is>
      </c>
      <c r="G10" t="inlineStr">
        <is>
          <t xml:space="preserve">outfall mark</t>
        </is>
      </c>
      <c r="H10" t="inlineStr">
        <is>
          <t xml:space="preserve">Fl(2+1)</t>
        </is>
      </c>
      <c r="I10" t="inlineStr">
        <is>
          <t xml:space="preserve">Am</t>
        </is>
      </c>
      <c r="J10" t="inlineStr">
        <is>
          <t xml:space="preserve">upright cross</t>
        </is>
      </c>
      <c r="K10" t="inlineStr">
        <is>
          <t xml:space="preserve">whistle</t>
        </is>
      </c>
      <c r="M10" t="inlineStr">
        <is>
          <t xml:space="preserve">private</t>
        </is>
      </c>
    </row>
    <row r="11">
      <c r="A11" t="inlineStr">
        <is>
          <t xml:space="preserve">Light float</t>
        </is>
      </c>
      <c r="D11" t="inlineStr">
        <is>
          <t xml:space="preserve">amber</t>
        </is>
      </c>
      <c r="E11" t="inlineStr">
        <is>
          <t xml:space="preserve">triangle</t>
        </is>
      </c>
      <c r="F11" t="inlineStr">
        <is>
          <t xml:space="preserve">pole</t>
        </is>
      </c>
      <c r="G11" t="inlineStr">
        <is>
          <t xml:space="preserve">ODAS</t>
        </is>
      </c>
      <c r="H11" t="inlineStr">
        <is>
          <t xml:space="preserve">LFl</t>
        </is>
      </c>
      <c r="J11" t="inlineStr">
        <is>
          <t xml:space="preserve">cube (point up)</t>
        </is>
      </c>
      <c r="K11" t="inlineStr">
        <is>
          <t xml:space="preserve">gong</t>
        </is>
      </c>
      <c r="M11" t="inlineStr">
        <is>
          <t xml:space="preserve">mandatory</t>
        </is>
      </c>
    </row>
    <row r="12">
      <c r="A12" t="inlineStr">
        <is>
          <t xml:space="preserve">Mooring buoy</t>
        </is>
      </c>
      <c r="D12" t="inlineStr">
        <is>
          <t xml:space="preserve">violet</t>
        </is>
      </c>
      <c r="F12" t="inlineStr">
        <is>
          <t xml:space="preserve">withy</t>
        </is>
      </c>
      <c r="G12" t="inlineStr">
        <is>
          <t xml:space="preserve">recording mark</t>
        </is>
      </c>
      <c r="H12" t="inlineStr">
        <is>
          <t xml:space="preserve">Q</t>
        </is>
      </c>
      <c r="J12" t="inlineStr">
        <is>
          <t xml:space="preserve">2 cones (point to point)</t>
        </is>
      </c>
      <c r="K12" t="inlineStr">
        <is>
          <t xml:space="preserve">horn</t>
        </is>
      </c>
      <c r="M12" t="inlineStr">
        <is>
          <t xml:space="preserve">extinguished</t>
        </is>
      </c>
    </row>
    <row r="13">
      <c r="A13" t="inlineStr">
        <is>
          <t xml:space="preserve">Beacon</t>
        </is>
      </c>
      <c r="D13" t="inlineStr">
        <is>
          <t xml:space="preserve">orange</t>
        </is>
      </c>
      <c r="F13" t="inlineStr">
        <is>
          <t xml:space="preserve">tower</t>
        </is>
      </c>
      <c r="G13" t="inlineStr">
        <is>
          <t xml:space="preserve">seaplane anchorage mark</t>
        </is>
      </c>
      <c r="H13" t="inlineStr">
        <is>
          <t xml:space="preserve">Q(3)</t>
        </is>
      </c>
      <c r="J13" t="inlineStr">
        <is>
          <t xml:space="preserve">2 cones (base to base)</t>
        </is>
      </c>
      <c r="M13" t="inlineStr">
        <is>
          <t xml:space="preserve">illuminated</t>
        </is>
      </c>
    </row>
    <row r="14">
      <c r="D14" t="inlineStr">
        <is>
          <t xml:space="preserve">magenta</t>
        </is>
      </c>
      <c r="F14" t="inlineStr">
        <is>
          <t xml:space="preserve">lattice</t>
        </is>
      </c>
      <c r="G14" t="inlineStr">
        <is>
          <t xml:space="preserve">recreation zone mark</t>
        </is>
      </c>
      <c r="H14" t="inlineStr">
        <is>
          <t xml:space="preserve">Q(6)+LFl</t>
        </is>
      </c>
      <c r="J14" t="inlineStr">
        <is>
          <t xml:space="preserve">rhombus</t>
        </is>
      </c>
      <c r="M14" t="inlineStr">
        <is>
          <t xml:space="preserve">historic</t>
        </is>
      </c>
    </row>
    <row r="15">
      <c r="D15" t="inlineStr">
        <is>
          <t xml:space="preserve">pink</t>
        </is>
      </c>
      <c r="F15" t="inlineStr">
        <is>
          <t xml:space="preserve">pile</t>
        </is>
      </c>
      <c r="G15" t="inlineStr">
        <is>
          <t xml:space="preserve">private mark</t>
        </is>
      </c>
      <c r="H15" t="inlineStr">
        <is>
          <t xml:space="preserve">Q(9)</t>
        </is>
      </c>
      <c r="J15" t="inlineStr">
        <is>
          <t xml:space="preserve">2 cones (points upward)</t>
        </is>
      </c>
      <c r="M15" t="inlineStr">
        <is>
          <t xml:space="preserve">public</t>
        </is>
      </c>
    </row>
    <row r="16">
      <c r="F16" t="inlineStr">
        <is>
          <t xml:space="preserve">cairn</t>
        </is>
      </c>
      <c r="G16" t="inlineStr">
        <is>
          <t xml:space="preserve">mooring mark</t>
        </is>
      </c>
      <c r="H16" t="inlineStr">
        <is>
          <t xml:space="preserve">VQ</t>
        </is>
      </c>
      <c r="J16" t="inlineStr">
        <is>
          <t xml:space="preserve">2 cones (points downward)</t>
        </is>
      </c>
      <c r="M16" t="inlineStr">
        <is>
          <t xml:space="preserve">synchronized</t>
        </is>
      </c>
    </row>
    <row r="17">
      <c r="F17" t="inlineStr">
        <is>
          <t xml:space="preserve">buoyant beacon</t>
        </is>
      </c>
      <c r="G17" t="inlineStr">
        <is>
          <t xml:space="preserve">LANBY</t>
        </is>
      </c>
      <c r="H17" t="inlineStr">
        <is>
          <t xml:space="preserve">VQ(3)</t>
        </is>
      </c>
      <c r="J17" t="inlineStr">
        <is>
          <t xml:space="preserve">besom (point up)</t>
        </is>
      </c>
      <c r="M17" t="inlineStr">
        <is>
          <t xml:space="preserve">watched</t>
        </is>
      </c>
    </row>
    <row r="18">
      <c r="G18" t="inlineStr">
        <is>
          <t xml:space="preserve">leading mark</t>
        </is>
      </c>
      <c r="H18" t="inlineStr">
        <is>
          <t xml:space="preserve">VQ(6)+LFl</t>
        </is>
      </c>
      <c r="J18" t="inlineStr">
        <is>
          <t xml:space="preserve">besom (point down)</t>
        </is>
      </c>
      <c r="M18" t="inlineStr">
        <is>
          <t xml:space="preserve">unwatched</t>
        </is>
      </c>
    </row>
    <row r="19">
      <c r="G19" t="inlineStr">
        <is>
          <t xml:space="preserve">measured distance mark</t>
        </is>
      </c>
      <c r="H19" t="inlineStr">
        <is>
          <t xml:space="preserve">VQ(9)</t>
        </is>
      </c>
      <c r="J19" t="inlineStr">
        <is>
          <t xml:space="preserve">flag</t>
        </is>
      </c>
      <c r="M19" t="inlineStr">
        <is>
          <t xml:space="preserve">existence doubtful</t>
        </is>
      </c>
    </row>
    <row r="20">
      <c r="G20" t="inlineStr">
        <is>
          <t xml:space="preserve">notice mark</t>
        </is>
      </c>
      <c r="H20" t="inlineStr">
        <is>
          <t xml:space="preserve">UQ</t>
        </is>
      </c>
      <c r="J20" t="inlineStr">
        <is>
          <t xml:space="preserve">sphere over a rhombus</t>
        </is>
      </c>
      <c r="M20" t="inlineStr">
        <is>
          <t xml:space="preserve">on request</t>
        </is>
      </c>
    </row>
    <row r="21">
      <c r="G21" t="inlineStr">
        <is>
          <t xml:space="preserve">TSS mark</t>
        </is>
      </c>
      <c r="H21" t="inlineStr">
        <is>
          <t xml:space="preserve">Iso</t>
        </is>
      </c>
      <c r="J21" t="inlineStr">
        <is>
          <t xml:space="preserve">square</t>
        </is>
      </c>
      <c r="M21" t="inlineStr">
        <is>
          <t xml:space="preserve">drop away</t>
        </is>
      </c>
    </row>
    <row r="22">
      <c r="G22" t="inlineStr">
        <is>
          <t xml:space="preserve">anchoring prohibited mark</t>
        </is>
      </c>
      <c r="H22" t="inlineStr">
        <is>
          <t xml:space="preserve">Oc</t>
        </is>
      </c>
      <c r="J22" t="inlineStr">
        <is>
          <t xml:space="preserve">rectangle (horizontal)</t>
        </is>
      </c>
      <c r="M22" t="inlineStr">
        <is>
          <t xml:space="preserve">rising</t>
        </is>
      </c>
    </row>
    <row r="23">
      <c r="G23" t="inlineStr">
        <is>
          <t xml:space="preserve">berthing prohibited mark</t>
        </is>
      </c>
      <c r="H23" t="inlineStr">
        <is>
          <t xml:space="preserve">Oc(2)</t>
        </is>
      </c>
      <c r="J23" t="inlineStr">
        <is>
          <t xml:space="preserve">rectangle (vertical)</t>
        </is>
      </c>
      <c r="M23" t="inlineStr">
        <is>
          <t xml:space="preserve">increasing</t>
        </is>
      </c>
    </row>
    <row r="24">
      <c r="G24" t="inlineStr">
        <is>
          <t xml:space="preserve">overtaking prohibited mark</t>
        </is>
      </c>
      <c r="H24" t="inlineStr">
        <is>
          <t xml:space="preserve">Oc(3)</t>
        </is>
      </c>
      <c r="J24" t="inlineStr">
        <is>
          <t xml:space="preserve">trapezium (up)</t>
        </is>
      </c>
      <c r="M24" t="inlineStr">
        <is>
          <t xml:space="preserve">decreasing</t>
        </is>
      </c>
    </row>
    <row r="25">
      <c r="G25" t="inlineStr">
        <is>
          <t xml:space="preserve">two-way traffic prohibited mark</t>
        </is>
      </c>
      <c r="H25" t="inlineStr">
        <is>
          <t xml:space="preserve">Oc(4)</t>
        </is>
      </c>
      <c r="J25" t="inlineStr">
        <is>
          <t xml:space="preserve">trapezium (down)</t>
        </is>
      </c>
      <c r="M25" t="inlineStr">
        <is>
          <t xml:space="preserve">strong</t>
        </is>
      </c>
    </row>
    <row r="26">
      <c r="G26" t="inlineStr">
        <is>
          <t xml:space="preserve">reduced wake mark</t>
        </is>
      </c>
      <c r="H26" t="inlineStr">
        <is>
          <t xml:space="preserve">Mo</t>
        </is>
      </c>
      <c r="J26" t="inlineStr">
        <is>
          <t xml:space="preserve">triangle (point up)</t>
        </is>
      </c>
      <c r="M26" t="inlineStr">
        <is>
          <t xml:space="preserve">good</t>
        </is>
      </c>
    </row>
    <row r="27">
      <c r="G27" t="inlineStr">
        <is>
          <t xml:space="preserve">speed limit mark</t>
        </is>
      </c>
      <c r="H27" t="inlineStr">
        <is>
          <t xml:space="preserve">Mo(A)</t>
        </is>
      </c>
      <c r="J27" t="inlineStr">
        <is>
          <t xml:space="preserve">triangle (point down)</t>
        </is>
      </c>
      <c r="M27" t="inlineStr">
        <is>
          <t xml:space="preserve">moderately</t>
        </is>
      </c>
    </row>
    <row r="28">
      <c r="G28" t="inlineStr">
        <is>
          <t xml:space="preserve">stop mark</t>
        </is>
      </c>
      <c r="H28" t="inlineStr">
        <is>
          <t xml:space="preserve">Mo(B)</t>
        </is>
      </c>
      <c r="J28" t="inlineStr">
        <is>
          <t xml:space="preserve">circle</t>
        </is>
      </c>
      <c r="M28" t="inlineStr">
        <is>
          <t xml:space="preserve">poor</t>
        </is>
      </c>
    </row>
    <row r="29">
      <c r="G29" t="inlineStr">
        <is>
          <t xml:space="preserve">general warning mark</t>
        </is>
      </c>
      <c r="H29" t="inlineStr">
        <is>
          <t xml:space="preserve">Mo(U)</t>
        </is>
      </c>
      <c r="J29" t="inlineStr">
        <is>
          <t xml:space="preserve">two upright crosses (one over the other)</t>
        </is>
      </c>
      <c r="M29" t="inlineStr">
        <is>
          <t xml:space="preserve">buoyed</t>
        </is>
      </c>
    </row>
    <row r="30">
      <c r="G30" t="inlineStr">
        <is>
          <t xml:space="preserve">sound ship's siren mark</t>
        </is>
      </c>
      <c r="H30" t="inlineStr">
        <is>
          <t xml:space="preserve">F.Fl</t>
        </is>
      </c>
      <c r="J30" t="inlineStr">
        <is>
          <t xml:space="preserve">t-shape</t>
        </is>
      </c>
      <c r="M30" t="inlineStr">
        <is>
          <t xml:space="preserve">fully operational</t>
        </is>
      </c>
    </row>
    <row r="31">
      <c r="G31" t="inlineStr">
        <is>
          <t xml:space="preserve">restricted vertical clearance mark</t>
        </is>
      </c>
      <c r="H31" t="inlineStr">
        <is>
          <t xml:space="preserve">Fl.LFl</t>
        </is>
      </c>
      <c r="J31" t="inlineStr">
        <is>
          <t xml:space="preserve">triangle pointing up over a circle</t>
        </is>
      </c>
      <c r="M31" t="inlineStr">
        <is>
          <t xml:space="preserve">partially operational</t>
        </is>
      </c>
    </row>
    <row r="32">
      <c r="G32" t="inlineStr">
        <is>
          <t xml:space="preserve">maximum vessel's draught mark</t>
        </is>
      </c>
      <c r="H32" t="inlineStr">
        <is>
          <t xml:space="preserve">Oc.Fl</t>
        </is>
      </c>
      <c r="J32" t="inlineStr">
        <is>
          <t xml:space="preserve">upright cross over a circle</t>
        </is>
      </c>
      <c r="M32" t="inlineStr">
        <is>
          <t xml:space="preserve">drifting</t>
        </is>
      </c>
    </row>
    <row r="33">
      <c r="G33" t="inlineStr">
        <is>
          <t xml:space="preserve">restricted horizontal clearance mark</t>
        </is>
      </c>
      <c r="H33" t="inlineStr">
        <is>
          <t xml:space="preserve">F.LFl</t>
        </is>
      </c>
      <c r="J33" t="inlineStr">
        <is>
          <t xml:space="preserve">rhombus over a circle</t>
        </is>
      </c>
      <c r="M33" t="inlineStr">
        <is>
          <t xml:space="preserve">broken</t>
        </is>
      </c>
    </row>
    <row r="34">
      <c r="G34" t="inlineStr">
        <is>
          <t xml:space="preserve">strong current warning mark</t>
        </is>
      </c>
      <c r="H34" t="inlineStr">
        <is>
          <t xml:space="preserve">Al</t>
        </is>
      </c>
      <c r="J34" t="inlineStr">
        <is>
          <t xml:space="preserve">circle over a triangle pointing up</t>
        </is>
      </c>
      <c r="M34" t="inlineStr">
        <is>
          <t xml:space="preserve">offline</t>
        </is>
      </c>
    </row>
    <row r="35">
      <c r="G35" t="inlineStr">
        <is>
          <t xml:space="preserve">berthing permitted mark</t>
        </is>
      </c>
      <c r="H35" t="inlineStr">
        <is>
          <t xml:space="preserve">Al.Fl</t>
        </is>
      </c>
      <c r="J35" t="inlineStr">
        <is>
          <t xml:space="preserve">other shape (see shape information)</t>
        </is>
      </c>
      <c r="M35" t="inlineStr">
        <is>
          <t xml:space="preserve">discontinued</t>
        </is>
      </c>
    </row>
    <row r="36">
      <c r="G36" t="inlineStr">
        <is>
          <t xml:space="preserve">overhead power cable mark</t>
        </is>
      </c>
      <c r="H36" t="inlineStr">
        <is>
          <t xml:space="preserve">Al.Oc</t>
        </is>
      </c>
      <c r="J36" t="inlineStr">
        <is>
          <t xml:space="preserve">tubular</t>
        </is>
      </c>
      <c r="M36" t="inlineStr">
        <is>
          <t xml:space="preserve">manual observation</t>
        </is>
      </c>
    </row>
    <row r="37">
      <c r="G37" t="inlineStr">
        <is>
          <t xml:space="preserve">channel edge gradient mark</t>
        </is>
      </c>
      <c r="H37" t="inlineStr">
        <is>
          <t xml:space="preserve">Al.LFl</t>
        </is>
      </c>
      <c r="M37" t="inlineStr">
        <is>
          <t xml:space="preserve">unknown status</t>
        </is>
      </c>
    </row>
    <row r="38">
      <c r="G38" t="inlineStr">
        <is>
          <t xml:space="preserve">telephone mark</t>
        </is>
      </c>
      <c r="H38" t="inlineStr">
        <is>
          <t xml:space="preserve">Al.Gp</t>
        </is>
      </c>
      <c r="M38" t="inlineStr">
        <is>
          <t xml:space="preserve">confirmed</t>
        </is>
      </c>
    </row>
    <row r="39">
      <c r="G39" t="inlineStr">
        <is>
          <t xml:space="preserve">ferry crossing mark</t>
        </is>
      </c>
      <c r="H39" t="inlineStr">
        <is>
          <t xml:space="preserve">FFl</t>
        </is>
      </c>
      <c r="M39" t="inlineStr">
        <is>
          <t xml:space="preserve">candidate</t>
        </is>
      </c>
    </row>
    <row r="40">
      <c r="G40" t="inlineStr">
        <is>
          <t xml:space="preserve">pipeline mark</t>
        </is>
      </c>
      <c r="H40" t="inlineStr">
        <is>
          <t xml:space="preserve">Q+LFl</t>
        </is>
      </c>
      <c r="M40" t="inlineStr">
        <is>
          <t xml:space="preserve">under modification</t>
        </is>
      </c>
    </row>
    <row r="41">
      <c r="G41" t="inlineStr">
        <is>
          <t xml:space="preserve">anchorage mark</t>
        </is>
      </c>
      <c r="H41" t="inlineStr">
        <is>
          <t xml:space="preserve">VQ+LFl</t>
        </is>
      </c>
      <c r="M41" t="inlineStr">
        <is>
          <t xml:space="preserve">experimental</t>
        </is>
      </c>
    </row>
    <row r="42">
      <c r="G42" t="inlineStr">
        <is>
          <t xml:space="preserve">clearing mark</t>
        </is>
      </c>
      <c r="H42" t="inlineStr">
        <is>
          <t xml:space="preserve">UQ+LFl</t>
        </is>
      </c>
      <c r="M42" t="inlineStr">
        <is>
          <t xml:space="preserve">under removal / deletion</t>
        </is>
      </c>
    </row>
    <row r="43">
      <c r="G43" t="inlineStr">
        <is>
          <t xml:space="preserve">control mark</t>
        </is>
      </c>
      <c r="H43" t="inlineStr">
        <is>
          <t xml:space="preserve">Gp.Oc</t>
        </is>
      </c>
      <c r="M43" t="inlineStr">
        <is>
          <t xml:space="preserve">removed / deleted</t>
        </is>
      </c>
    </row>
    <row r="44">
      <c r="G44" t="inlineStr">
        <is>
          <t xml:space="preserve">diving mark</t>
        </is>
      </c>
      <c r="H44" t="inlineStr">
        <is>
          <t xml:space="preserve">Gp.Fl</t>
        </is>
      </c>
      <c r="M44" t="inlineStr">
        <is>
          <t xml:space="preserve">candidate for modification</t>
        </is>
      </c>
    </row>
    <row r="45">
      <c r="G45" t="inlineStr">
        <is>
          <t xml:space="preserve">refuge beacon</t>
        </is>
      </c>
      <c r="H45" t="inlineStr">
        <is>
          <t xml:space="preserve">Gp.VQ</t>
        </is>
      </c>
    </row>
    <row r="46">
      <c r="G46" t="inlineStr">
        <is>
          <t xml:space="preserve">foul ground mark</t>
        </is>
      </c>
    </row>
    <row r="47">
      <c r="G47" t="inlineStr">
        <is>
          <t xml:space="preserve">yachting mark</t>
        </is>
      </c>
    </row>
    <row r="48">
      <c r="G48" t="inlineStr">
        <is>
          <t xml:space="preserve">heliport mark</t>
        </is>
      </c>
    </row>
    <row r="49">
      <c r="G49" t="inlineStr">
        <is>
          <t xml:space="preserve">GNSS mark</t>
        </is>
      </c>
    </row>
    <row r="50">
      <c r="G50" t="inlineStr">
        <is>
          <t xml:space="preserve">seaplane landing mark</t>
        </is>
      </c>
    </row>
    <row r="51">
      <c r="G51" t="inlineStr">
        <is>
          <t xml:space="preserve">entry prohibited mark</t>
        </is>
      </c>
    </row>
    <row r="52">
      <c r="G52" t="inlineStr">
        <is>
          <t xml:space="preserve">work in progress mark</t>
        </is>
      </c>
    </row>
    <row r="53">
      <c r="G53" t="inlineStr">
        <is>
          <t xml:space="preserve">mark with unknown purpose</t>
        </is>
      </c>
    </row>
    <row r="54">
      <c r="G54" t="inlineStr">
        <is>
          <t xml:space="preserve">wellhead mark</t>
        </is>
      </c>
    </row>
    <row r="55">
      <c r="G55" t="inlineStr">
        <is>
          <t xml:space="preserve">channel separation mark</t>
        </is>
      </c>
    </row>
    <row r="56">
      <c r="G56" t="inlineStr">
        <is>
          <t xml:space="preserve">marine farm mark</t>
        </is>
      </c>
    </row>
    <row r="57">
      <c r="G57" t="inlineStr">
        <is>
          <t xml:space="preserve">artificial reef mark</t>
        </is>
      </c>
    </row>
    <row r="58">
      <c r="G58" t="inlineStr">
        <is>
          <t xml:space="preserve">ice mark</t>
        </is>
      </c>
    </row>
    <row r="59">
      <c r="G59" t="inlineStr">
        <is>
          <t xml:space="preserve">nature reserve mark</t>
        </is>
      </c>
    </row>
    <row r="60">
      <c r="G60" t="inlineStr">
        <is>
          <t xml:space="preserve">fish aggregating device</t>
        </is>
      </c>
    </row>
    <row r="61">
      <c r="G61" t="inlineStr">
        <is>
          <t xml:space="preserve">wreck mark</t>
        </is>
      </c>
    </row>
    <row r="62">
      <c r="G62" t="inlineStr">
        <is>
          <t xml:space="preserve">customs mark</t>
        </is>
      </c>
    </row>
    <row r="63">
      <c r="G63" t="inlineStr">
        <is>
          <t xml:space="preserve">causeway mark</t>
        </is>
      </c>
    </row>
    <row r="64">
      <c r="G64" t="inlineStr">
        <is>
          <t xml:space="preserve">wave recorder</t>
        </is>
      </c>
    </row>
    <row r="65">
      <c r="G65" t="inlineStr">
        <is>
          <t xml:space="preserve">jetski prohibited</t>
        </is>
      </c>
    </row>
    <row r="66">
      <c r="G66" t="inlineStr">
        <is>
          <t xml:space="preserve">facility protection mark</t>
        </is>
      </c>
    </row>
    <row r="67">
      <c r="G67" t="inlineStr">
        <is>
          <t xml:space="preserve">oil pipeline protection mark</t>
        </is>
      </c>
    </row>
    <row r="68">
      <c r="G68" t="inlineStr">
        <is>
          <t xml:space="preserve">marine cable protection mark</t>
        </is>
      </c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3"/>
  <cols>
    <col min="1" max="1" width="34" customWidth="1"/>
    <col min="2" max="2" width="70" customWidth="1"/>
    <col min="3" max="3" width="26" customWidth="1"/>
    <col min="4" max="4" width="48" customWidth="1"/>
  </cols>
  <sheetData>
    <row r="1">
      <c r="A1" s="5" t="inlineStr">
        <is>
          <t xml:space="preserve">S-201 AtoN Studio — spreadsheet template for the Excel → S-201 tab</t>
        </is>
      </c>
    </row>
    <row r="3">
      <c r="A3" s="1" t="inlineStr">
        <is>
          <t xml:space="preserve">How to use it</t>
        </is>
      </c>
    </row>
    <row r="4">
      <c r="A4" s="6" t="inlineStr">
        <is>
          <t xml:space="preserve">1. On the Source sheet, type one aid per row in the yellow cells. The drop-downs offer the words the converter reads; the first rows are fictional examples — overwrite or delete them.</t>
        </is>
      </c>
    </row>
    <row r="5">
      <c r="A5" s="6" t="inlineStr">
        <is>
          <t xml:space="preserve">2. The S-201 list sheet fills itself by formula. Do not type there; if you need more than 200 rows, copy its last row down.</t>
        </is>
      </c>
    </row>
    <row r="6">
      <c r="A6" s="6" t="inlineStr">
        <is>
          <t xml:space="preserve">3. Save the workbook (Ctrl+S). The converter reads the values Excel stored at the last save.</t>
        </is>
      </c>
    </row>
    <row r="7">
      <c r="A7" s="6" t="inlineStr">
        <is>
          <t xml:space="preserve">4. In S-201 AtoN Studio open Excel → S-201, load this file and keep the sheet "S-201 list" (the column names are recognised and mapped automatically). Check the required-fields checklist, click Convert, read the conversion report, then Load into Builder, Send to Validator or Download .gml.</t>
        </is>
      </c>
    </row>
    <row r="9">
      <c r="A9" s="1" t="inlineStr">
        <is>
          <t xml:space="preserve">Column guide (Source sheet)</t>
        </is>
      </c>
    </row>
    <row r="10">
      <c r="A10" s="1" t="inlineStr">
        <is>
          <t xml:space="preserve">Source column</t>
        </is>
      </c>
      <c r="B10" s="1" t="inlineStr">
        <is>
          <t xml:space="preserve">Type this</t>
        </is>
      </c>
      <c r="C10" s="1" t="inlineStr">
        <is>
          <t xml:space="preserve">Example</t>
        </is>
      </c>
      <c r="D10" s="1" t="inlineStr">
        <is>
          <t xml:space="preserve">Becomes on the S-201 list</t>
        </is>
      </c>
    </row>
    <row r="11">
      <c r="A11" s="6" t="inlineStr">
        <is>
          <t xml:space="preserve">No</t>
        </is>
      </c>
      <c r="B11" s="6" t="inlineStr">
        <is>
          <t xml:space="preserve">The aid's national / list number (text or number; leading zeros are kept when typed as text)</t>
        </is>
      </c>
      <c r="C11" s="6" t="inlineStr">
        <is>
          <t xml:space="preserve">XX-001</t>
        </is>
      </c>
      <c r="D11" s="6" t="inlineStr">
        <is>
          <t xml:space="preserve">AtoN number</t>
        </is>
      </c>
    </row>
    <row r="12">
      <c r="A12" s="6" t="inlineStr">
        <is>
          <t xml:space="preserve">Type + Side / direction + Structure</t>
        </is>
      </c>
      <c r="B12" s="6" t="inlineStr">
        <is>
          <t xml:space="preserve">The mark family, its side (port / starboard / preferred channel …) or cardinal direction (N / E / S / W), and buoy or beacon. Lighthouse, Light vessel, Light float, Mooring buoy and Beacon need no structure word.</t>
        </is>
      </c>
      <c r="C12" s="6" t="inlineStr">
        <is>
          <t xml:space="preserve">Lateral · port · buoy</t>
        </is>
      </c>
      <c r="D12" s="6" t="inlineStr">
        <is>
          <t xml:space="preserve">Aid type — "port Lateral buoy" → Lateral Buoy, port-hand</t>
        </is>
      </c>
    </row>
    <row r="13">
      <c r="A13" s="6" t="inlineStr">
        <is>
          <t xml:space="preserve">Name</t>
        </is>
      </c>
      <c r="B13" s="6" t="inlineStr">
        <is>
          <t xml:space="preserve">The aid's name</t>
        </is>
      </c>
      <c r="C13" s="6" t="inlineStr">
        <is>
          <t xml:space="preserve">Bravo Point</t>
        </is>
      </c>
      <c r="D13" s="6" t="inlineStr">
        <is>
          <t xml:space="preserve">Name</t>
        </is>
      </c>
    </row>
    <row r="14">
      <c r="A14" s="6" t="inlineStr">
        <is>
          <t xml:space="preserve">Lat ° ' " N/S and Lon ° ' " E/W</t>
        </is>
      </c>
      <c r="B14" s="6" t="inlineStr">
        <is>
          <t xml:space="preserve">Degrees, minutes, seconds and the hemisphere letter. Decimal degrees: put the whole value in the ° column and leave ' and " blank; decimal minutes: put them in the ' column.</t>
        </is>
      </c>
      <c r="C14" s="6" t="inlineStr">
        <is>
          <t xml:space="preserve">15 · 31 · 1.2 · N</t>
        </is>
      </c>
      <c r="D14" s="6" t="inlineStr">
        <is>
          <t xml:space="preserve">Latitude / Longitude as signed decimal degrees, 7 decimals</t>
        </is>
      </c>
    </row>
    <row r="15">
      <c r="A15" s="6" t="inlineStr">
        <is>
          <t xml:space="preserve">Colour 1 / 2 / 3 + Colour pattern</t>
        </is>
      </c>
      <c r="B15" s="6" t="inlineStr">
        <is>
          <t xml:space="preserve">The body colours from the top (horizontal bands) or the left (vertical stripes); the pattern is required when there is more than one colour.</t>
        </is>
      </c>
      <c r="C15" s="6" t="inlineStr">
        <is>
          <t xml:space="preserve">black · yellow · horizontal stripes</t>
        </is>
      </c>
      <c r="D15" s="6" t="inlineStr">
        <is>
          <t xml:space="preserve">Colour "black/yellow" + Colour pattern</t>
        </is>
      </c>
    </row>
    <row r="16">
      <c r="A16" s="6" t="inlineStr">
        <is>
          <t xml:space="preserve">Shape</t>
        </is>
      </c>
      <c r="B16" s="6" t="inlineStr">
        <is>
          <t xml:space="preserve">Buoy shape (can, conical, spherical, pillar, spar …) or beacon shape (pole, pile, tower, lattice …)</t>
        </is>
      </c>
      <c r="C16" s="6" t="inlineStr">
        <is>
          <t xml:space="preserve">pillar</t>
        </is>
      </c>
      <c r="D16" s="6" t="inlineStr">
        <is>
          <t xml:space="preserve">Shape</t>
        </is>
      </c>
    </row>
    <row r="17">
      <c r="A17" s="6" t="inlineStr">
        <is>
          <t xml:space="preserve">Special-purpose category</t>
        </is>
      </c>
      <c r="B17" s="6" t="inlineStr">
        <is>
          <t xml:space="preserve">Special-purpose marks only: the category name from the list</t>
        </is>
      </c>
      <c r="C17" s="6" t="inlineStr">
        <is>
          <t xml:space="preserve">spoil ground mark</t>
        </is>
      </c>
      <c r="D17" s="6" t="inlineStr">
        <is>
          <t xml:space="preserve">Category (side / direction for the other families)</t>
        </is>
      </c>
    </row>
    <row r="18">
      <c r="A18" s="6" t="inlineStr">
        <is>
          <t xml:space="preserve">Light rhythm + Light colour + Period (s) + Range (NM)</t>
        </is>
      </c>
      <c r="B18" s="6" t="inlineStr">
        <is>
          <t xml:space="preserve">Rhythm as in the List of Lights (Fl, Fl(2), LFl, Q, VQ(9), Iso, Oc …), colour letter (W / R / G / Y …), period in seconds, nominal range in nautical miles. No light: leave all four blank.</t>
        </is>
      </c>
      <c r="C18" s="6" t="inlineStr">
        <is>
          <t xml:space="preserve">Fl(2) · W · 10 · 15</t>
        </is>
      </c>
      <c r="D18" s="6" t="inlineStr">
        <is>
          <t xml:space="preserve">Light character "Fl(2) W 10s 15M"</t>
        </is>
      </c>
    </row>
    <row r="19">
      <c r="A19" s="6" t="inlineStr">
        <is>
          <t xml:space="preserve">Focal height (m), Height (m)</t>
        </is>
      </c>
      <c r="B19" s="6" t="inlineStr">
        <is>
          <t xml:space="preserve">Plain numbers in metres — S-201 requires metres. A value you only have in feet must be converted before typing (feet × 0.3048).</t>
        </is>
      </c>
      <c r="C19" s="6" t="inlineStr">
        <is>
          <t xml:space="preserve">14 · 18</t>
        </is>
      </c>
      <c r="D19" s="6" t="inlineStr">
        <is>
          <t xml:space="preserve">Focal height 14, Height 18</t>
        </is>
      </c>
    </row>
    <row r="20">
      <c r="A20" s="6" t="inlineStr">
        <is>
          <t xml:space="preserve">Topmark + Topmark colour</t>
        </is>
      </c>
      <c r="B20" s="6" t="inlineStr">
        <is>
          <t xml:space="preserve">The topmark shape from the list and its colour</t>
        </is>
      </c>
      <c r="C20" s="6" t="inlineStr">
        <is>
          <t xml:space="preserve">cone (point up) · green</t>
        </is>
      </c>
      <c r="D20" s="6" t="inlineStr">
        <is>
          <t xml:space="preserve">Topmark / Topmark colour</t>
        </is>
      </c>
    </row>
    <row r="21">
      <c r="A21" s="6" t="inlineStr">
        <is>
          <t xml:space="preserve">Fog signal + Fog period (s)</t>
        </is>
      </c>
      <c r="B21" s="6" t="inlineStr">
        <is>
          <t xml:space="preserve">The fog signal type from the list and its period in seconds</t>
        </is>
      </c>
      <c r="C21" s="6" t="inlineStr">
        <is>
          <t xml:space="preserve">horn · 30</t>
        </is>
      </c>
      <c r="D21" s="6" t="inlineStr">
        <is>
          <t xml:space="preserve">Fog signal / Fog period</t>
        </is>
      </c>
    </row>
    <row r="22">
      <c r="A22" s="6" t="inlineStr">
        <is>
          <t xml:space="preserve">MMSI + AIS type</t>
        </is>
      </c>
      <c r="B22" s="6" t="inlineStr">
        <is>
          <t xml:space="preserve">The 9-digit MMSI of an AIS unit on the aid and the physical AIS type (1, 2 or 3)</t>
        </is>
      </c>
      <c r="C22" s="6" t="inlineStr">
        <is>
          <t xml:space="preserve">992001234 · 1</t>
        </is>
      </c>
      <c r="D22" s="6" t="inlineStr">
        <is>
          <t xml:space="preserve">MMSI "992001234", AIS type "physical AIS type 1"</t>
        </is>
      </c>
    </row>
    <row r="23">
      <c r="A23" s="6" t="inlineStr">
        <is>
          <t xml:space="preserve">Racon</t>
        </is>
      </c>
      <c r="B23" s="6" t="inlineStr">
        <is>
          <t xml:space="preserve">The racon's Morse letter, or yes</t>
        </is>
      </c>
      <c r="C23" s="6" t="inlineStr">
        <is>
          <t xml:space="preserve">K</t>
        </is>
      </c>
      <c r="D23" s="6" t="inlineStr">
        <is>
          <t xml:space="preserve">Racon "K"</t>
        </is>
      </c>
    </row>
    <row r="24">
      <c r="A24" s="6" t="inlineStr">
        <is>
          <t xml:space="preserve">Status</t>
        </is>
      </c>
      <c r="B24" s="6" t="inlineStr">
        <is>
          <t xml:space="preserve">From the list</t>
        </is>
      </c>
      <c r="C24" s="6" t="inlineStr">
        <is>
          <t xml:space="preserve">permanent</t>
        </is>
      </c>
      <c r="D24" s="6" t="inlineStr">
        <is>
          <t xml:space="preserve">Status</t>
        </is>
      </c>
    </row>
    <row r="25">
      <c r="A25" s="6" t="inlineStr">
        <is>
          <t xml:space="preserve">Installed</t>
        </is>
      </c>
      <c r="B25" s="6" t="inlineStr">
        <is>
          <t xml:space="preserve">A date (typed as a date)</t>
        </is>
      </c>
      <c r="C25" s="6" t="inlineStr">
        <is>
          <t xml:space="preserve">2020-06-01</t>
        </is>
      </c>
      <c r="D25" s="6" t="inlineStr">
        <is>
          <t xml:space="preserve">Installed "2020-06-01" — an unambiguous form in every locale</t>
        </is>
      </c>
    </row>
    <row r="26">
      <c r="A26" s="6" t="inlineStr">
        <is>
          <t xml:space="preserve">Visually conspicuous</t>
        </is>
      </c>
      <c r="B26" s="6" t="inlineStr">
        <is>
          <t xml:space="preserve">Lighthouses and other landmarks: yes or no</t>
        </is>
      </c>
      <c r="C26" s="6" t="inlineStr">
        <is>
          <t xml:space="preserve">yes</t>
        </is>
      </c>
      <c r="D26" s="6" t="inlineStr">
        <is>
          <t xml:space="preserve">Visual prominence "visually conspicuous"</t>
        </is>
      </c>
    </row>
    <row r="27">
      <c r="A27" s="6" t="inlineStr">
        <is>
          <t xml:space="preserve">Remarks</t>
        </is>
      </c>
      <c r="B27" s="6" t="inlineStr">
        <is>
          <t xml:space="preserve">Free text</t>
        </is>
      </c>
      <c r="C27" s="6" t="inlineStr">
        <is>
          <t xml:space="preserve">Fairway buoy</t>
        </is>
      </c>
      <c r="D27" s="6" t="inlineStr">
        <is>
          <t xml:space="preserve">Remarks → information text</t>
        </is>
      </c>
    </row>
    <row r="29">
      <c r="A29" s="1" t="inlineStr">
        <is>
          <t xml:space="preserve">Notes</t>
        </is>
      </c>
    </row>
    <row r="30">
      <c r="A30" s="6" t="inlineStr">
        <is>
          <t xml:space="preserve">The formulas use plain Excel 2007 functions only (IF, TRIM, SUBSTITUTE, ROUND, TEXT with digit masks, YEAR / MONTH / DAY, LEN, UPPER), so the workbook works in old Excel versions and in LibreOffice; dates are written year-month-day without a date mask because date masks differ per language.</t>
        </is>
      </c>
    </row>
    <row r="31">
      <c r="A31" s="6" t="inlineStr">
        <is>
          <t xml:space="preserve">What the sheet does not give, the converter fills only from IALA R1001 where the convention is single-valued (a lighthouse's landmark category "tower", a cardinal mark's topmark colour …) and says so in the report; a buoy shape, a beacon shape and a light rhythm are never assumed — give them here or as a same-for-all value in the tab.</t>
        </is>
      </c>
    </row>
    <row r="32">
      <c r="A32" s="6" t="inlineStr">
        <is>
          <t xml:space="preserve">Fictional examples only: the names, numbers and positions on the Source sheet are made up.</t>
        </is>
      </c>
    </row>
  </sheetData>
  <pageMargins left="0.5" right="0.5" top="0.6" bottom="0.6" header="0.3" footer="0.3"/>
</worksheet>
</file>